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P-200907\Template\"/>
    </mc:Choice>
  </mc:AlternateContent>
  <xr:revisionPtr revIDLastSave="0" documentId="13_ncr:1_{26A81932-324B-45FC-980F-1D7DE8A5DDE5}" xr6:coauthVersionLast="45" xr6:coauthVersionMax="45" xr10:uidLastSave="{00000000-0000-0000-0000-000000000000}"/>
  <bookViews>
    <workbookView xWindow="-120" yWindow="-120" windowWidth="20730" windowHeight="11280" tabRatio="814" activeTab="6" xr2:uid="{00000000-000D-0000-FFFF-FFFF00000000}"/>
  </bookViews>
  <sheets>
    <sheet name="FinishSizeChild" sheetId="7" r:id="rId1"/>
    <sheet name="SizeGroupChild" sheetId="5" r:id="rId2"/>
    <sheet name="AccountMaster" sheetId="3" r:id="rId3"/>
    <sheet name="GeneralMaster" sheetId="4" r:id="rId4"/>
    <sheet name="GMaster" sheetId="17" state="hidden" r:id="rId5"/>
    <sheet name="AccountChild05" sheetId="1" r:id="rId6"/>
    <sheet name="PrintingRate" sheetId="2" r:id="rId7"/>
    <sheet name="AccountChild07" sheetId="10" r:id="rId8"/>
    <sheet name="MORate" sheetId="11" r:id="rId9"/>
    <sheet name="AccountChild08" sheetId="15" r:id="rId10"/>
    <sheet name="BindingRate" sheetId="16" r:id="rId11"/>
  </sheets>
  <definedNames>
    <definedName name="_xlnm._FilterDatabase" localSheetId="5" hidden="1">AccountChild05!$A$2:$B$119</definedName>
    <definedName name="_xlnm._FilterDatabase" localSheetId="7" hidden="1">AccountChild07!$G$2:$J$205</definedName>
    <definedName name="_xlnm._FilterDatabase" localSheetId="9" hidden="1">AccountChild08!$A$2:$C$2</definedName>
    <definedName name="_xlnm._FilterDatabase" localSheetId="2" hidden="1">AccountMaster!#REF!</definedName>
    <definedName name="_xlnm._FilterDatabase" localSheetId="10" hidden="1">BindingRate!$A$2:$AW$2</definedName>
    <definedName name="_xlnm._FilterDatabase" localSheetId="0" hidden="1">FinishSizeChild!$F$2:$XFD$2</definedName>
    <definedName name="_xlnm._FilterDatabase" localSheetId="3" hidden="1">GeneralMaster!#REF!</definedName>
    <definedName name="_xlnm._FilterDatabase" localSheetId="8" hidden="1">MORate!$A$2:$XED$2</definedName>
    <definedName name="_xlnm._FilterDatabase" localSheetId="6" hidden="1">PrintingRate!$A$2:$AJ$45</definedName>
    <definedName name="_xlnm._FilterDatabase" localSheetId="1" hidden="1">SizeGroupChild!$C$2:$XEV$2</definedName>
    <definedName name="Default__AccountChild05_1" localSheetId="5" hidden="1">AccountChild05!$C$2:$AJ$59</definedName>
    <definedName name="Default__AccountChild07" localSheetId="7" hidden="1">AccountChild07!$A$2:$F$45</definedName>
    <definedName name="Default__AccountChild08" localSheetId="9" hidden="1">AccountChild08!$D$2:$AW$44</definedName>
    <definedName name="Default__AccountMaster_1" localSheetId="2" hidden="1">AccountMaster!$A$2:$T$27</definedName>
    <definedName name="Default__FinishSizeChild" localSheetId="0" hidden="1">FinishSizeChild!$A$2:$E$60</definedName>
    <definedName name="Default__GeneralMaster" localSheetId="3" hidden="1">GeneralMaster!$A$2:$K$330</definedName>
    <definedName name="Default__SizeGroupChild" localSheetId="1" hidden="1">SizeGroupChild!$A$2:$B$41</definedName>
    <definedName name="_xlnm.Print_Area" localSheetId="5">AccountChild05!$A:$AJ</definedName>
    <definedName name="_xlnm.Print_Area" localSheetId="7">AccountChild07!$G:$J</definedName>
    <definedName name="_xlnm.Print_Area" localSheetId="8">MORate!$E:$J</definedName>
    <definedName name="_xlnm.Print_Titles" localSheetId="5">AccountChild05!$A:$G,AccountChild05!$1:$2</definedName>
    <definedName name="_xlnm.Print_Titles" localSheetId="7">AccountChild07!$E:$F,AccountChild07!$1:$2</definedName>
    <definedName name="_xlnm.Print_Titles" localSheetId="9">AccountChild08!$A:$N,AccountChild08!$1:$2</definedName>
    <definedName name="_xlnm.Print_Titles" localSheetId="8">MORate!$1:$2</definedName>
  </definedNames>
  <calcPr calcId="181029"/>
</workbook>
</file>

<file path=xl/calcChain.xml><?xml version="1.0" encoding="utf-8"?>
<calcChain xmlns="http://schemas.openxmlformats.org/spreadsheetml/2006/main">
  <c r="I1" i="17" l="1"/>
  <c r="G1" i="17"/>
  <c r="L951" i="4"/>
  <c r="L950" i="4"/>
  <c r="L949" i="4"/>
  <c r="L948" i="4"/>
  <c r="L947" i="4"/>
  <c r="L946" i="4"/>
  <c r="L945" i="4"/>
  <c r="L944" i="4"/>
  <c r="L943" i="4"/>
  <c r="L942" i="4"/>
  <c r="L941" i="4"/>
  <c r="L940" i="4"/>
  <c r="L939" i="4"/>
  <c r="L938" i="4"/>
  <c r="L937" i="4"/>
  <c r="L936" i="4"/>
  <c r="L935" i="4"/>
  <c r="L934" i="4"/>
  <c r="L933" i="4"/>
  <c r="L932" i="4"/>
  <c r="L931" i="4"/>
  <c r="L930" i="4"/>
  <c r="L929" i="4"/>
  <c r="L928" i="4"/>
  <c r="L927" i="4"/>
  <c r="L926" i="4"/>
  <c r="L925" i="4"/>
  <c r="L924" i="4"/>
  <c r="L923" i="4"/>
  <c r="L922" i="4"/>
  <c r="L921" i="4"/>
  <c r="L920" i="4"/>
  <c r="L919" i="4"/>
  <c r="L918" i="4"/>
  <c r="L917" i="4"/>
  <c r="L916" i="4"/>
  <c r="L915" i="4"/>
  <c r="L914" i="4"/>
  <c r="L913" i="4"/>
  <c r="L912" i="4"/>
  <c r="L911" i="4"/>
  <c r="L910" i="4"/>
  <c r="L909" i="4"/>
  <c r="L908" i="4"/>
  <c r="L907" i="4"/>
  <c r="L906" i="4"/>
  <c r="L905" i="4"/>
  <c r="L904" i="4"/>
  <c r="L903" i="4"/>
  <c r="L902" i="4"/>
  <c r="L901" i="4"/>
  <c r="L900" i="4"/>
  <c r="L899" i="4"/>
  <c r="L898" i="4"/>
  <c r="L897" i="4"/>
  <c r="L896" i="4"/>
  <c r="L895" i="4"/>
  <c r="L894" i="4"/>
  <c r="L893" i="4"/>
  <c r="L892" i="4"/>
  <c r="L891" i="4"/>
  <c r="L890" i="4"/>
  <c r="L889" i="4"/>
  <c r="L888" i="4"/>
  <c r="L887" i="4"/>
  <c r="L886" i="4"/>
  <c r="L885" i="4"/>
  <c r="L884" i="4"/>
  <c r="L883" i="4"/>
  <c r="L882" i="4"/>
  <c r="L881" i="4"/>
  <c r="L880" i="4"/>
  <c r="L879" i="4"/>
  <c r="L878" i="4"/>
  <c r="L877" i="4"/>
  <c r="L876" i="4"/>
  <c r="L875" i="4"/>
  <c r="L874" i="4"/>
  <c r="L873" i="4"/>
  <c r="L872" i="4"/>
  <c r="L871" i="4"/>
  <c r="L870" i="4"/>
  <c r="L869" i="4"/>
  <c r="L868" i="4"/>
  <c r="L867" i="4"/>
  <c r="L866" i="4"/>
  <c r="L865" i="4"/>
  <c r="L864" i="4"/>
  <c r="L863" i="4"/>
  <c r="L862" i="4"/>
  <c r="L861" i="4"/>
  <c r="L860" i="4"/>
  <c r="L859" i="4"/>
  <c r="L858" i="4"/>
  <c r="L857" i="4"/>
  <c r="L856" i="4"/>
  <c r="L855" i="4"/>
  <c r="L854" i="4"/>
  <c r="L853" i="4"/>
  <c r="L852" i="4"/>
  <c r="L851" i="4"/>
  <c r="L850" i="4"/>
  <c r="L849" i="4"/>
  <c r="L848" i="4"/>
  <c r="L847" i="4"/>
  <c r="L846" i="4"/>
  <c r="L845" i="4"/>
  <c r="L844" i="4"/>
  <c r="L843" i="4"/>
  <c r="L842" i="4"/>
  <c r="L841" i="4"/>
  <c r="L840" i="4"/>
  <c r="L839" i="4"/>
  <c r="L838" i="4"/>
  <c r="L837" i="4"/>
  <c r="L836" i="4"/>
  <c r="L835" i="4"/>
  <c r="L834" i="4"/>
  <c r="L833" i="4"/>
  <c r="L832" i="4"/>
  <c r="L831" i="4"/>
  <c r="L830" i="4"/>
  <c r="L829" i="4"/>
  <c r="L828" i="4"/>
  <c r="L827" i="4"/>
  <c r="L826" i="4"/>
  <c r="L825" i="4"/>
  <c r="L824" i="4"/>
  <c r="L823" i="4"/>
  <c r="L822" i="4"/>
  <c r="L821" i="4"/>
  <c r="L820" i="4"/>
  <c r="L819" i="4"/>
  <c r="L818" i="4"/>
  <c r="L817" i="4"/>
  <c r="L816" i="4"/>
  <c r="L815" i="4"/>
  <c r="L814" i="4"/>
  <c r="L813" i="4"/>
  <c r="L812" i="4"/>
  <c r="L811" i="4"/>
  <c r="L810" i="4"/>
  <c r="L809" i="4"/>
  <c r="L808" i="4"/>
  <c r="L807" i="4"/>
  <c r="L806" i="4"/>
  <c r="L805" i="4"/>
  <c r="L804" i="4"/>
  <c r="L803" i="4"/>
  <c r="L802" i="4"/>
  <c r="L801" i="4"/>
  <c r="L800" i="4"/>
  <c r="L799" i="4"/>
  <c r="L798" i="4"/>
  <c r="L797" i="4"/>
  <c r="L796" i="4"/>
  <c r="L795" i="4"/>
  <c r="L794" i="4"/>
  <c r="L793" i="4"/>
  <c r="L792" i="4"/>
  <c r="L791" i="4"/>
  <c r="L790" i="4"/>
  <c r="L789" i="4"/>
  <c r="L788" i="4"/>
  <c r="L787" i="4"/>
  <c r="L786" i="4"/>
  <c r="L785" i="4"/>
  <c r="L784" i="4"/>
  <c r="L783" i="4"/>
  <c r="L782" i="4"/>
  <c r="L781" i="4"/>
  <c r="L780" i="4"/>
  <c r="L779" i="4"/>
  <c r="L778" i="4"/>
  <c r="L777" i="4"/>
  <c r="L776" i="4"/>
  <c r="L775" i="4"/>
  <c r="L774" i="4"/>
  <c r="L773" i="4"/>
  <c r="L772" i="4"/>
  <c r="L771" i="4"/>
  <c r="L770" i="4"/>
  <c r="L769" i="4"/>
  <c r="L768" i="4"/>
  <c r="L767" i="4"/>
  <c r="L766" i="4"/>
  <c r="L765" i="4"/>
  <c r="L764" i="4"/>
  <c r="L763" i="4"/>
  <c r="L762" i="4"/>
  <c r="L761" i="4"/>
  <c r="L760" i="4"/>
  <c r="L759" i="4"/>
  <c r="L758" i="4"/>
  <c r="L757" i="4"/>
  <c r="L756" i="4"/>
  <c r="L755" i="4"/>
  <c r="L754" i="4"/>
  <c r="L753" i="4"/>
  <c r="L752" i="4"/>
  <c r="L751" i="4"/>
  <c r="L750" i="4"/>
  <c r="L749" i="4"/>
  <c r="L748" i="4"/>
  <c r="L747" i="4"/>
  <c r="L746" i="4"/>
  <c r="L745" i="4"/>
  <c r="L744" i="4"/>
  <c r="L743" i="4"/>
  <c r="L742" i="4"/>
  <c r="L741" i="4"/>
  <c r="L740" i="4"/>
  <c r="L739" i="4"/>
  <c r="L738" i="4"/>
  <c r="L737" i="4"/>
  <c r="L736" i="4"/>
  <c r="L735" i="4"/>
  <c r="L734" i="4"/>
  <c r="L733" i="4"/>
  <c r="L732" i="4"/>
  <c r="L731" i="4"/>
  <c r="L730" i="4"/>
  <c r="L729" i="4"/>
  <c r="L728" i="4"/>
  <c r="L727" i="4"/>
  <c r="L726" i="4"/>
  <c r="L725" i="4"/>
  <c r="L724" i="4"/>
  <c r="L723" i="4"/>
  <c r="L722" i="4"/>
  <c r="L721" i="4"/>
  <c r="L720" i="4"/>
  <c r="L719" i="4"/>
  <c r="L718" i="4"/>
  <c r="L717" i="4"/>
  <c r="L716" i="4"/>
  <c r="L715" i="4"/>
  <c r="L714" i="4"/>
  <c r="L713" i="4"/>
  <c r="L712" i="4"/>
  <c r="L711" i="4"/>
  <c r="L710" i="4"/>
  <c r="L709" i="4"/>
  <c r="L708" i="4"/>
  <c r="L707" i="4"/>
  <c r="L706" i="4"/>
  <c r="L705" i="4"/>
  <c r="L704" i="4"/>
  <c r="L703" i="4"/>
  <c r="L702" i="4"/>
  <c r="L701" i="4"/>
  <c r="L700" i="4"/>
  <c r="L699" i="4"/>
  <c r="L698" i="4"/>
  <c r="L697" i="4"/>
  <c r="L696" i="4"/>
  <c r="L695" i="4"/>
  <c r="L694" i="4"/>
  <c r="L693" i="4"/>
  <c r="L692" i="4"/>
  <c r="L691" i="4"/>
  <c r="L690" i="4"/>
  <c r="L689" i="4"/>
  <c r="L688" i="4"/>
  <c r="L687" i="4"/>
  <c r="L686" i="4"/>
  <c r="L685" i="4"/>
  <c r="L684" i="4"/>
  <c r="L683" i="4"/>
  <c r="L682" i="4"/>
  <c r="L681" i="4"/>
  <c r="L680" i="4"/>
  <c r="L679" i="4"/>
  <c r="L678" i="4"/>
  <c r="L677" i="4"/>
  <c r="L676" i="4"/>
  <c r="L675" i="4"/>
  <c r="L674" i="4"/>
  <c r="L673" i="4"/>
  <c r="L672" i="4"/>
  <c r="L671" i="4"/>
  <c r="L670" i="4"/>
  <c r="L669" i="4"/>
  <c r="L668" i="4"/>
  <c r="L667" i="4"/>
  <c r="L666" i="4"/>
  <c r="L665" i="4"/>
  <c r="L664" i="4"/>
  <c r="L663" i="4"/>
  <c r="L662" i="4"/>
  <c r="L661" i="4"/>
  <c r="L660" i="4"/>
  <c r="L659" i="4"/>
  <c r="L658" i="4"/>
  <c r="L657" i="4"/>
  <c r="L656" i="4"/>
  <c r="L655" i="4"/>
  <c r="L654" i="4"/>
  <c r="L653" i="4"/>
  <c r="L652" i="4"/>
  <c r="L651" i="4"/>
  <c r="L650" i="4"/>
  <c r="L649" i="4"/>
  <c r="L648" i="4"/>
  <c r="L647" i="4"/>
  <c r="L646" i="4"/>
  <c r="L645" i="4"/>
  <c r="L644" i="4"/>
  <c r="L643" i="4"/>
  <c r="L642" i="4"/>
  <c r="L641" i="4"/>
  <c r="L640" i="4"/>
  <c r="L639" i="4"/>
  <c r="L638" i="4"/>
  <c r="L637" i="4"/>
  <c r="L636" i="4"/>
  <c r="L635" i="4"/>
  <c r="L634" i="4"/>
  <c r="L633" i="4"/>
  <c r="L632" i="4"/>
  <c r="L631" i="4"/>
  <c r="L630" i="4"/>
  <c r="L629" i="4"/>
  <c r="L628" i="4"/>
  <c r="L627" i="4"/>
  <c r="L626" i="4"/>
  <c r="L625" i="4"/>
  <c r="L624" i="4"/>
  <c r="L623" i="4"/>
  <c r="L622" i="4"/>
  <c r="L621" i="4"/>
  <c r="L620" i="4"/>
  <c r="L619" i="4"/>
  <c r="L618" i="4"/>
  <c r="L617" i="4"/>
  <c r="L616" i="4"/>
  <c r="L615" i="4"/>
  <c r="L614" i="4"/>
  <c r="L612" i="4"/>
  <c r="L611" i="4"/>
  <c r="L610" i="4"/>
  <c r="L609" i="4"/>
  <c r="L608" i="4"/>
  <c r="XET594" i="5"/>
  <c r="XET593" i="5"/>
  <c r="XET592" i="5"/>
  <c r="XET591" i="5"/>
  <c r="XET590" i="5"/>
  <c r="XET589" i="5"/>
  <c r="XET588" i="5"/>
  <c r="XET587" i="5"/>
  <c r="XET586" i="5"/>
  <c r="XET585" i="5"/>
  <c r="XET584" i="5"/>
  <c r="XET583" i="5"/>
  <c r="XET582" i="5"/>
  <c r="XET581" i="5"/>
  <c r="XET580" i="5"/>
  <c r="XET579" i="5"/>
  <c r="XET578" i="5"/>
  <c r="XET577" i="5"/>
  <c r="XET576" i="5"/>
  <c r="XET575" i="5"/>
  <c r="XET574" i="5"/>
  <c r="XET573" i="5"/>
  <c r="XET572" i="5"/>
  <c r="XET571" i="5"/>
  <c r="XET570" i="5"/>
  <c r="XET569" i="5"/>
  <c r="XET568" i="5"/>
  <c r="XET567" i="5"/>
  <c r="XET566" i="5"/>
  <c r="XET565" i="5"/>
  <c r="XET564" i="5"/>
  <c r="XET563" i="5"/>
  <c r="XET562" i="5"/>
  <c r="XET561" i="5"/>
  <c r="XET560" i="5"/>
  <c r="XET559" i="5"/>
  <c r="XET558" i="5"/>
  <c r="XET557" i="5"/>
  <c r="XET556" i="5"/>
  <c r="XET555" i="5"/>
  <c r="XET554" i="5"/>
  <c r="XET553" i="5"/>
  <c r="XET552" i="5"/>
  <c r="XET551" i="5"/>
  <c r="XET550" i="5"/>
  <c r="XET549" i="5"/>
  <c r="XET548" i="5"/>
  <c r="XET547" i="5"/>
  <c r="XET546" i="5"/>
  <c r="XET545" i="5"/>
  <c r="XET544" i="5"/>
  <c r="XET543" i="5"/>
  <c r="XET542" i="5"/>
  <c r="XET541" i="5"/>
  <c r="XET540" i="5"/>
  <c r="XET539" i="5"/>
  <c r="XET538" i="5"/>
  <c r="XET537" i="5"/>
  <c r="XET536" i="5"/>
  <c r="XET535" i="5"/>
  <c r="XET534" i="5"/>
  <c r="XET533" i="5"/>
  <c r="XET532" i="5"/>
  <c r="XET531" i="5"/>
  <c r="XET530" i="5"/>
  <c r="XET529" i="5"/>
  <c r="XET528" i="5"/>
  <c r="XET527" i="5"/>
  <c r="XET526" i="5"/>
  <c r="XET525" i="5"/>
  <c r="XET524" i="5"/>
  <c r="XET523" i="5"/>
  <c r="XET522" i="5"/>
  <c r="XET521" i="5"/>
  <c r="XET520" i="5"/>
  <c r="XET519" i="5"/>
  <c r="XET518" i="5"/>
  <c r="XET517" i="5"/>
  <c r="XET516" i="5"/>
  <c r="XET515" i="5"/>
  <c r="XET514" i="5"/>
  <c r="XET513" i="5"/>
  <c r="XET512" i="5"/>
  <c r="XET511" i="5"/>
  <c r="XET510" i="5"/>
  <c r="XET509" i="5"/>
  <c r="XET508" i="5"/>
  <c r="XET507" i="5"/>
  <c r="XET506" i="5"/>
  <c r="XET505" i="5"/>
  <c r="XET504" i="5"/>
  <c r="XET503" i="5"/>
  <c r="XET502" i="5"/>
  <c r="XET501" i="5"/>
  <c r="XET500" i="5"/>
  <c r="XET499" i="5"/>
  <c r="XET498" i="5"/>
  <c r="XET497" i="5"/>
  <c r="XET496" i="5"/>
  <c r="XET495" i="5"/>
  <c r="XET494" i="5"/>
  <c r="XET493" i="5"/>
  <c r="XET492" i="5"/>
  <c r="XET491" i="5"/>
  <c r="XET490" i="5"/>
  <c r="XET489" i="5"/>
  <c r="XET488" i="5"/>
  <c r="XET487" i="5"/>
  <c r="XET486" i="5"/>
  <c r="XET485" i="5"/>
  <c r="XET484" i="5"/>
  <c r="XET483" i="5"/>
  <c r="XET482" i="5"/>
  <c r="XET481" i="5"/>
  <c r="XET480" i="5"/>
  <c r="XET479" i="5"/>
  <c r="XET478" i="5"/>
  <c r="XET477" i="5"/>
  <c r="XET476" i="5"/>
  <c r="XET475" i="5"/>
  <c r="XET474" i="5"/>
  <c r="XET473" i="5"/>
  <c r="XET472" i="5"/>
  <c r="XET471" i="5"/>
  <c r="XET470" i="5"/>
  <c r="XET469" i="5"/>
  <c r="XET468" i="5"/>
  <c r="XET467" i="5"/>
  <c r="XET466" i="5"/>
  <c r="XET465" i="5"/>
  <c r="XET464" i="5"/>
  <c r="XET463" i="5"/>
  <c r="XET462" i="5"/>
  <c r="XET461" i="5"/>
  <c r="XET460" i="5"/>
  <c r="XET459" i="5"/>
  <c r="XET458" i="5"/>
  <c r="XET457" i="5"/>
  <c r="XET456" i="5"/>
  <c r="XET455" i="5"/>
  <c r="XET454" i="5"/>
  <c r="XET453" i="5"/>
  <c r="XET452" i="5"/>
  <c r="XET451" i="5"/>
  <c r="XET450" i="5"/>
  <c r="XET449" i="5"/>
  <c r="XET448" i="5"/>
  <c r="XET447" i="5"/>
  <c r="XET446" i="5"/>
  <c r="XET445" i="5"/>
  <c r="XET444" i="5"/>
  <c r="XET443" i="5"/>
  <c r="XET442" i="5"/>
  <c r="XET441" i="5"/>
  <c r="XET440" i="5"/>
  <c r="XET439" i="5"/>
  <c r="XET438" i="5"/>
  <c r="XET437" i="5"/>
  <c r="XET436" i="5"/>
  <c r="XET435" i="5"/>
  <c r="XET434" i="5"/>
  <c r="XET433" i="5"/>
  <c r="XET432" i="5"/>
  <c r="XET431" i="5"/>
  <c r="XET430" i="5"/>
  <c r="XET429" i="5"/>
  <c r="XET428" i="5"/>
  <c r="XET427" i="5"/>
  <c r="XET426" i="5"/>
  <c r="XET425" i="5"/>
  <c r="XET424" i="5"/>
  <c r="XET423" i="5"/>
  <c r="XET422" i="5"/>
  <c r="XET421" i="5"/>
  <c r="XET420" i="5"/>
  <c r="XET419" i="5"/>
  <c r="XET418" i="5"/>
  <c r="XET417" i="5"/>
  <c r="XET416" i="5"/>
  <c r="XET415" i="5"/>
  <c r="XET414" i="5"/>
  <c r="XET413" i="5"/>
  <c r="XET412" i="5"/>
  <c r="XET411" i="5"/>
  <c r="XET410" i="5"/>
  <c r="XET409" i="5"/>
  <c r="XET408" i="5"/>
  <c r="XET407" i="5"/>
  <c r="XET406" i="5"/>
  <c r="XET405" i="5"/>
  <c r="XET404" i="5"/>
  <c r="XET403" i="5"/>
  <c r="XET402" i="5"/>
  <c r="XET401" i="5"/>
  <c r="XET400" i="5"/>
  <c r="XET399" i="5"/>
  <c r="XET398" i="5"/>
  <c r="XET397" i="5"/>
  <c r="XET396" i="5"/>
  <c r="XET395" i="5"/>
  <c r="XET394" i="5"/>
  <c r="XET393" i="5"/>
  <c r="XET392" i="5"/>
  <c r="XET391" i="5"/>
  <c r="XET390" i="5"/>
  <c r="XET389" i="5"/>
  <c r="XET388" i="5"/>
  <c r="XET387" i="5"/>
  <c r="XET386" i="5"/>
  <c r="XET385" i="5"/>
  <c r="XET384" i="5"/>
  <c r="XET383" i="5"/>
  <c r="XET382" i="5"/>
  <c r="XET381" i="5"/>
  <c r="XET380" i="5"/>
  <c r="XET379" i="5"/>
  <c r="XET378" i="5"/>
  <c r="XET377" i="5"/>
  <c r="XET376" i="5"/>
  <c r="XET375" i="5"/>
  <c r="XET374" i="5"/>
  <c r="XET373" i="5"/>
  <c r="XET372" i="5"/>
  <c r="XET371" i="5"/>
  <c r="XET370" i="5"/>
  <c r="XET369" i="5"/>
  <c r="XET368" i="5"/>
  <c r="XET367" i="5"/>
  <c r="XET366" i="5"/>
  <c r="XET365" i="5"/>
  <c r="XET364" i="5"/>
  <c r="XET363" i="5"/>
  <c r="XET362" i="5"/>
  <c r="XET361" i="5"/>
  <c r="XET360" i="5"/>
  <c r="XET359" i="5"/>
  <c r="XET358" i="5"/>
  <c r="XET357" i="5"/>
  <c r="XET356" i="5"/>
  <c r="XET355" i="5"/>
  <c r="XET354" i="5"/>
  <c r="XET353" i="5"/>
  <c r="XET352" i="5"/>
  <c r="XET351" i="5"/>
  <c r="XET350" i="5"/>
  <c r="XET349" i="5"/>
  <c r="XET348" i="5"/>
  <c r="XET347" i="5"/>
  <c r="XET346" i="5"/>
  <c r="XET345" i="5"/>
  <c r="XET344" i="5"/>
  <c r="XET343" i="5"/>
  <c r="XET342" i="5"/>
  <c r="XET341" i="5"/>
  <c r="XET340" i="5"/>
  <c r="XET339" i="5"/>
  <c r="XET338" i="5"/>
  <c r="XET337" i="5"/>
  <c r="XET336" i="5"/>
  <c r="XET335" i="5"/>
  <c r="XET334" i="5"/>
  <c r="XET333" i="5"/>
  <c r="XET332" i="5"/>
  <c r="XET331" i="5"/>
  <c r="XET330" i="5"/>
  <c r="XET329" i="5"/>
  <c r="XET328" i="5"/>
  <c r="XET327" i="5"/>
  <c r="XET326" i="5"/>
  <c r="XET325" i="5"/>
  <c r="XET324" i="5"/>
  <c r="XET323" i="5"/>
  <c r="XET322" i="5"/>
  <c r="XET321" i="5"/>
  <c r="XET320" i="5"/>
  <c r="XET319" i="5"/>
  <c r="XET318" i="5"/>
  <c r="XET317" i="5"/>
  <c r="XET316" i="5"/>
  <c r="XET315" i="5"/>
  <c r="XET314" i="5"/>
  <c r="XET313" i="5"/>
  <c r="XET312" i="5"/>
  <c r="XET311" i="5"/>
  <c r="XET310" i="5"/>
  <c r="XET309" i="5"/>
  <c r="XET308" i="5"/>
  <c r="XET307" i="5"/>
  <c r="XET306" i="5"/>
  <c r="XET305" i="5"/>
  <c r="XET304" i="5"/>
  <c r="XET303" i="5"/>
  <c r="XET302" i="5"/>
  <c r="XET301" i="5"/>
  <c r="XET300" i="5"/>
  <c r="XET299" i="5"/>
  <c r="XET298" i="5"/>
  <c r="XET297" i="5"/>
  <c r="XET296" i="5"/>
  <c r="XET295" i="5"/>
  <c r="XET294" i="5"/>
  <c r="XET293" i="5"/>
  <c r="XET292" i="5"/>
  <c r="XET291" i="5"/>
  <c r="XET290" i="5"/>
  <c r="XET289" i="5"/>
  <c r="XET288" i="5"/>
  <c r="XET287" i="5"/>
  <c r="XET286" i="5"/>
  <c r="XET285" i="5"/>
  <c r="XET284" i="5"/>
  <c r="XET283" i="5"/>
  <c r="XET282" i="5"/>
  <c r="XET281" i="5"/>
  <c r="XET280" i="5"/>
  <c r="XET279" i="5"/>
  <c r="XET278" i="5"/>
  <c r="XET277" i="5"/>
  <c r="XET276" i="5"/>
  <c r="XET275" i="5"/>
  <c r="XET274" i="5"/>
  <c r="XET273" i="5"/>
  <c r="XET272" i="5"/>
  <c r="XET271" i="5"/>
  <c r="XET270" i="5"/>
  <c r="XET269" i="5"/>
  <c r="XET268" i="5"/>
  <c r="XET267" i="5"/>
  <c r="XET266" i="5"/>
  <c r="XET265" i="5"/>
  <c r="XET264" i="5"/>
  <c r="XET263" i="5"/>
  <c r="XET262" i="5"/>
  <c r="XET261" i="5"/>
  <c r="XET260" i="5"/>
  <c r="XET259" i="5"/>
  <c r="XET258" i="5"/>
  <c r="XET257" i="5"/>
  <c r="XET256" i="5"/>
  <c r="XET255" i="5"/>
  <c r="XET254" i="5"/>
  <c r="XET253" i="5"/>
  <c r="XET252" i="5"/>
  <c r="XET251" i="5"/>
  <c r="XET250" i="5"/>
  <c r="XET249" i="5"/>
  <c r="XET248" i="5"/>
  <c r="XET247" i="5"/>
  <c r="XET246" i="5"/>
  <c r="XET245" i="5"/>
  <c r="XET244" i="5"/>
  <c r="XET243" i="5"/>
  <c r="XET242" i="5"/>
  <c r="XET241" i="5"/>
  <c r="XET240" i="5"/>
  <c r="XET239" i="5"/>
  <c r="XET238" i="5"/>
  <c r="XET237" i="5"/>
  <c r="XET236" i="5"/>
  <c r="XET235" i="5"/>
  <c r="XET234" i="5"/>
  <c r="XET233" i="5"/>
  <c r="XET232" i="5"/>
  <c r="XET231" i="5"/>
  <c r="XET230" i="5"/>
  <c r="XET229" i="5"/>
  <c r="XET228" i="5"/>
  <c r="XET227" i="5"/>
  <c r="XET226" i="5"/>
  <c r="XET225" i="5"/>
  <c r="XET224" i="5"/>
  <c r="XET223" i="5"/>
  <c r="XET222" i="5"/>
  <c r="XET221" i="5"/>
  <c r="XET220" i="5"/>
  <c r="XET219" i="5"/>
  <c r="XET218" i="5"/>
  <c r="XET217" i="5"/>
  <c r="XET216" i="5"/>
  <c r="XET215" i="5"/>
  <c r="XET214" i="5"/>
  <c r="XET213" i="5"/>
  <c r="XET212" i="5"/>
  <c r="XET211" i="5"/>
  <c r="XET210" i="5"/>
  <c r="XET209" i="5"/>
  <c r="XET208" i="5"/>
  <c r="XET207" i="5"/>
  <c r="XET206" i="5"/>
  <c r="XET205" i="5"/>
  <c r="XET204" i="5"/>
  <c r="XET203" i="5"/>
  <c r="XET202" i="5"/>
  <c r="XET201" i="5"/>
  <c r="XET200" i="5"/>
  <c r="XET199" i="5"/>
  <c r="XET198" i="5"/>
  <c r="XET197" i="5"/>
  <c r="XET196" i="5"/>
  <c r="XET195" i="5"/>
  <c r="XET194" i="5"/>
  <c r="XET193" i="5"/>
  <c r="XET192" i="5"/>
  <c r="XET191" i="5"/>
  <c r="XET190" i="5"/>
  <c r="XET189" i="5"/>
  <c r="XET188" i="5"/>
  <c r="XET187" i="5"/>
  <c r="XET186" i="5"/>
  <c r="XET185" i="5"/>
  <c r="XET184" i="5"/>
  <c r="XET183" i="5"/>
  <c r="XET182" i="5"/>
  <c r="XET181" i="5"/>
  <c r="XET180" i="5"/>
  <c r="XET179" i="5"/>
  <c r="XET178" i="5"/>
  <c r="XET177" i="5"/>
  <c r="XET176" i="5"/>
  <c r="XET175" i="5"/>
  <c r="XET174" i="5"/>
  <c r="XET173" i="5"/>
  <c r="XET172" i="5"/>
  <c r="XET171" i="5"/>
  <c r="XET170" i="5"/>
  <c r="XET169" i="5"/>
  <c r="XET168" i="5"/>
  <c r="XET167" i="5"/>
  <c r="XET166" i="5"/>
  <c r="XET165" i="5"/>
  <c r="XET164" i="5"/>
  <c r="XET163" i="5"/>
  <c r="XET162" i="5"/>
  <c r="XET161" i="5"/>
  <c r="XET160" i="5"/>
  <c r="XET159" i="5"/>
  <c r="XET158" i="5"/>
  <c r="XET157" i="5"/>
  <c r="XET156" i="5"/>
  <c r="XET155" i="5"/>
  <c r="XET154" i="5"/>
  <c r="XET153" i="5"/>
  <c r="XET152" i="5"/>
  <c r="XET151" i="5"/>
  <c r="XET150" i="5"/>
  <c r="XET149" i="5"/>
  <c r="XET148" i="5"/>
  <c r="XET147" i="5"/>
  <c r="XET146" i="5"/>
  <c r="XET145" i="5"/>
  <c r="XET144" i="5"/>
  <c r="XET143" i="5"/>
  <c r="XET142" i="5"/>
  <c r="XET141" i="5"/>
  <c r="XET140" i="5"/>
  <c r="XET139" i="5"/>
  <c r="XET138" i="5"/>
  <c r="XET137" i="5"/>
  <c r="XET136" i="5"/>
  <c r="XET135" i="5"/>
  <c r="XET134" i="5"/>
  <c r="XET133" i="5"/>
  <c r="XET132" i="5"/>
  <c r="XET131" i="5"/>
  <c r="XET130" i="5"/>
  <c r="XET129" i="5"/>
  <c r="XET128" i="5"/>
  <c r="XET127" i="5"/>
  <c r="XET126" i="5"/>
  <c r="XET125" i="5"/>
  <c r="XET124" i="5"/>
  <c r="XET123" i="5"/>
  <c r="XET122" i="5"/>
  <c r="XET121" i="5"/>
  <c r="XET120" i="5"/>
  <c r="XET119" i="5"/>
  <c r="XET118" i="5"/>
  <c r="XET117" i="5"/>
  <c r="XET116" i="5"/>
  <c r="XET115" i="5"/>
  <c r="XET114" i="5"/>
  <c r="XET113" i="5"/>
  <c r="XET112" i="5"/>
  <c r="XET111" i="5"/>
  <c r="XET110" i="5"/>
  <c r="XET109" i="5"/>
  <c r="XET108" i="5"/>
  <c r="XET107" i="5"/>
  <c r="XET106" i="5"/>
  <c r="XET105" i="5"/>
  <c r="XET104" i="5"/>
  <c r="XET103" i="5"/>
  <c r="XET102" i="5"/>
  <c r="XET101" i="5"/>
  <c r="XET100" i="5"/>
  <c r="XET99" i="5"/>
  <c r="XET98" i="5"/>
  <c r="XET97" i="5"/>
  <c r="XET96" i="5"/>
  <c r="XET95" i="5"/>
  <c r="XET94" i="5"/>
  <c r="XET93" i="5"/>
  <c r="XET92" i="5"/>
  <c r="XET91" i="5"/>
  <c r="XET90" i="5"/>
  <c r="XET89" i="5"/>
  <c r="XET88" i="5"/>
  <c r="XET87" i="5"/>
  <c r="XET86" i="5"/>
  <c r="XET85" i="5"/>
  <c r="XET84" i="5"/>
  <c r="XET83" i="5"/>
  <c r="XET82" i="5"/>
  <c r="XET81" i="5"/>
  <c r="XET80" i="5"/>
  <c r="XET79" i="5"/>
  <c r="XET78" i="5"/>
  <c r="XET77" i="5"/>
  <c r="XET76" i="5"/>
  <c r="XET75" i="5"/>
  <c r="XET74" i="5"/>
  <c r="XET73" i="5"/>
  <c r="XET72" i="5"/>
  <c r="XET71" i="5"/>
  <c r="XET70" i="5"/>
  <c r="XET69" i="5"/>
  <c r="XET68" i="5"/>
  <c r="XET67" i="5"/>
  <c r="XET66" i="5"/>
  <c r="XET65" i="5"/>
  <c r="XET64" i="5"/>
  <c r="XET63" i="5"/>
  <c r="XET62" i="5"/>
  <c r="XET61" i="5"/>
  <c r="XET60" i="5"/>
  <c r="XET59" i="5"/>
  <c r="XET58" i="5"/>
  <c r="XET57" i="5"/>
  <c r="XET56" i="5"/>
  <c r="XET55" i="5"/>
  <c r="XET54" i="5"/>
  <c r="XET53" i="5"/>
  <c r="XET52" i="5"/>
  <c r="XET51" i="5"/>
  <c r="XET50" i="5"/>
  <c r="XER49" i="5"/>
  <c r="XER48" i="5"/>
  <c r="XER47" i="5"/>
  <c r="XEV46" i="5"/>
  <c r="XER46" i="5"/>
  <c r="XEV45" i="5"/>
  <c r="XER45" i="5"/>
  <c r="XEV44" i="5"/>
  <c r="XER44" i="5"/>
  <c r="XEV43" i="5"/>
  <c r="XER43" i="5"/>
  <c r="XEV42" i="5"/>
  <c r="XER42" i="5"/>
  <c r="XEV41" i="5"/>
  <c r="XER41" i="5"/>
  <c r="XEV40" i="5"/>
  <c r="XER40" i="5"/>
  <c r="XEV39" i="5"/>
  <c r="XER39" i="5"/>
  <c r="XEV38" i="5"/>
  <c r="XER38" i="5"/>
  <c r="XEV37" i="5"/>
  <c r="XER37" i="5"/>
  <c r="XEV36" i="5"/>
  <c r="XER36" i="5"/>
  <c r="XEV35" i="5"/>
  <c r="XER35" i="5"/>
  <c r="XEV34" i="5"/>
  <c r="XER34" i="5"/>
  <c r="XEV33" i="5"/>
  <c r="XER33" i="5"/>
  <c r="XEV32" i="5"/>
  <c r="XER32" i="5"/>
  <c r="XEV31" i="5"/>
  <c r="XER31" i="5"/>
  <c r="XEV30" i="5"/>
  <c r="XER30" i="5"/>
  <c r="XEV29" i="5"/>
  <c r="XER29" i="5"/>
  <c r="XEV28" i="5"/>
  <c r="XER28" i="5"/>
  <c r="XEV27" i="5"/>
  <c r="XER27" i="5"/>
  <c r="XEV26" i="5"/>
  <c r="XER26" i="5"/>
  <c r="XEV25" i="5"/>
  <c r="XER25" i="5"/>
  <c r="XEV24" i="5"/>
  <c r="XER24" i="5"/>
  <c r="XEV23" i="5"/>
  <c r="XER23" i="5"/>
  <c r="XEV22" i="5"/>
  <c r="XER22" i="5"/>
  <c r="XEV21" i="5"/>
  <c r="XER21" i="5"/>
  <c r="XEV20" i="5"/>
  <c r="XER20" i="5"/>
  <c r="XEV19" i="5"/>
  <c r="XER19" i="5"/>
  <c r="XEV18" i="5"/>
  <c r="XER18" i="5"/>
  <c r="XEV17" i="5"/>
  <c r="XER17" i="5"/>
  <c r="XEV16" i="5"/>
  <c r="XER16" i="5"/>
  <c r="XEV15" i="5"/>
  <c r="XER15" i="5"/>
  <c r="XEV14" i="5"/>
  <c r="XER14" i="5"/>
  <c r="XEV13" i="5"/>
  <c r="XER13" i="5"/>
  <c r="XEV12" i="5"/>
  <c r="XER12" i="5"/>
  <c r="XEV11" i="5"/>
  <c r="XER11" i="5"/>
  <c r="XEV10" i="5"/>
  <c r="XER10" i="5"/>
  <c r="XEV9" i="5"/>
  <c r="XER9" i="5"/>
  <c r="XEV8" i="5"/>
  <c r="XER8" i="5"/>
  <c r="XEV7" i="5"/>
  <c r="XER7" i="5"/>
  <c r="XEV6" i="5"/>
  <c r="XER6" i="5"/>
  <c r="XEV5" i="5"/>
  <c r="XER5" i="5"/>
  <c r="XEV4" i="5"/>
  <c r="XER4" i="5"/>
  <c r="XEV3" i="5"/>
  <c r="XER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(Default) AccountChild05" type="5" refreshedVersion="6" savePassword="1" background="1" saveData="1">
    <dbPr connection="Provider=Microsoft.Jet.OLEDB.4.0;Password=&quot;&quot;;User ID=Admin;Data Source=D:\Easy Publish\Database\EasyPublish.411;Mode=ReadWrite;Extended Properties=&quot;&quot;;Jet OLEDB:System database=&quot;&quot;;Jet OLEDB:Registry Path=&quot;&quot;;Jet OLEDB:Database Password=pubprint123!@#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AccountChild05" commandType="3"/>
  </connection>
  <connection id="2" xr16:uid="{00000000-0015-0000-FFFF-FFFF01000000}" odcFile="C:\Users\yeshi\Documents\My Data Sources\(Default) AccountChild07.odc" keepAlive="1" name="(Default) AccountChild07" type="5" refreshedVersion="6" savePassword="1" background="1" saveData="1">
    <dbPr connection="Provider=Microsoft.Jet.OLEDB.4.0;Password=&quot;&quot;;User ID=Admin;Data Source=D:\Easy Publish\Database\EasyPublish.411;Mode=Share Deny None;Extended Properties=&quot;&quot;;Jet OLEDB:System database=&quot;&quot;;Jet OLEDB:Registry Path=&quot;&quot;;Jet OLEDB:Database Password=pubprint123!@#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AccountChild07" commandType="3"/>
  </connection>
  <connection id="3" xr16:uid="{00000000-0015-0000-FFFF-FFFF02000000}" odcFile="C:\Users\yeshi\Documents\My Data Sources\(Default) AccountChild08.odc" keepAlive="1" name="(Default) AccountChild08" type="5" refreshedVersion="6" savePassword="1" background="1" saveData="1">
    <dbPr connection="Provider=Microsoft.Jet.OLEDB.4.0;Password=&quot;&quot;;User ID=Admin;Data Source=D:\Easy Publish\Database\EasyPublish.411;Mode=Share Deny None;Extended Properties=&quot;&quot;;Jet OLEDB:System database=&quot;&quot;;Jet OLEDB:Registry Path=&quot;&quot;;Jet OLEDB:Database Password=pubprint123!@#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AccountChild08" commandType="3"/>
  </connection>
  <connection id="4" xr16:uid="{00000000-0015-0000-FFFF-FFFF03000000}" odcFile="C:\Users\yeshi\Documents\My Data Sources\(Default) AccountMaster.odc" keepAlive="1" name="(Default) AccountMaster" type="5" refreshedVersion="6" savePassword="1" background="1" saveData="1">
    <dbPr connection="Provider=Microsoft.Jet.OLEDB.4.0;Password=&quot;&quot;;User ID=Admin;Data Source=D:\Easy Publish\Database\EasyPublish.411;Mode=ReadWrite;Extended Properties=&quot;&quot;;Jet OLEDB:System database=&quot;&quot;;Jet OLEDB:Registry Path=&quot;&quot;;Jet OLEDB:Database Password=pubprint123!@#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AccountMaster" commandType="3"/>
  </connection>
  <connection id="5" xr16:uid="{00000000-0015-0000-FFFF-FFFF04000000}" odcFile="C:\Users\yeshi\Documents\My Data Sources\(Default) FinishSizeChild.odc" keepAlive="1" name="(Default) FinishSizeChild" type="5" refreshedVersion="6" savePassword="1" background="1" saveData="1">
    <dbPr connection="Provider=Microsoft.Jet.OLEDB.4.0;Password=&quot;&quot;;User ID=Admin;Data Source=D:\Easy Publish\Database\EasyPublish.411;Mode=Share Deny None;Extended Properties=&quot;&quot;;Jet OLEDB:System database=&quot;&quot;;Jet OLEDB:Registry Path=&quot;&quot;;Jet OLEDB:Database Password=pubprint123!@#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FinishSizeChild" commandType="3"/>
  </connection>
  <connection id="6" xr16:uid="{00000000-0015-0000-FFFF-FFFF05000000}" odcFile="C:\Users\yeshi\Documents\My Data Sources\(Default) GeneralMaster.odc" keepAlive="1" name="(Default) GeneralMaster" type="5" refreshedVersion="6" savePassword="1" background="1" saveData="1">
    <dbPr connection="Provider=Microsoft.Jet.OLEDB.4.0;Password=&quot;&quot;;User ID=Admin;Data Source=D:\Easy Publish\Database\EasyPublish.411;Mode=Share Deny None;Extended Properties=&quot;&quot;;Jet OLEDB:System database=&quot;&quot;;Jet OLEDB:Registry Path=&quot;&quot;;Jet OLEDB:Database Password=pubprint123!@#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GeneralMaster" commandType="3"/>
  </connection>
  <connection id="7" xr16:uid="{00000000-0015-0000-FFFF-FFFF06000000}" odcFile="C:\Users\yeshi\Documents\My Data Sources\(Default) SizeGroupChild.odc" keepAlive="1" name="(Default) SizeGroupChild" type="5" refreshedVersion="6" savePassword="1" background="1" saveData="1">
    <dbPr connection="Provider=Microsoft.Jet.OLEDB.4.0;Password=&quot;&quot;;User ID=Admin;Data Source=D:\Easy Publish\Database\EasyPublish.411;Mode=Share Deny None;Extended Properties=&quot;&quot;;Jet OLEDB:System database=&quot;&quot;;Jet OLEDB:Registry Path=&quot;&quot;;Jet OLEDB:Database Password=pubprint123!@#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izeGroupChild" commandType="3"/>
  </connection>
</connections>
</file>

<file path=xl/sharedStrings.xml><?xml version="1.0" encoding="utf-8"?>
<sst xmlns="http://schemas.openxmlformats.org/spreadsheetml/2006/main" count="10661" uniqueCount="1107">
  <si>
    <t>Code</t>
  </si>
  <si>
    <t>Size</t>
  </si>
  <si>
    <t>Range1</t>
  </si>
  <si>
    <t>Range2</t>
  </si>
  <si>
    <t>Range4</t>
  </si>
  <si>
    <t>Range6</t>
  </si>
  <si>
    <t>PrintRate1</t>
  </si>
  <si>
    <t>PrintRate2</t>
  </si>
  <si>
    <t>PrintRate4</t>
  </si>
  <si>
    <t>PrintRate6</t>
  </si>
  <si>
    <t>PSPlateRate1</t>
  </si>
  <si>
    <t>PSPlateRate2</t>
  </si>
  <si>
    <t>PSPlateRate4</t>
  </si>
  <si>
    <t>PSPlateRate6</t>
  </si>
  <si>
    <t>DeepatchPlateRate1</t>
  </si>
  <si>
    <t>DeepatchPlateRate2</t>
  </si>
  <si>
    <t>DeepatchPlateRate4</t>
  </si>
  <si>
    <t>DeepatchPlateRate6</t>
  </si>
  <si>
    <t>WipeonPlateRate1</t>
  </si>
  <si>
    <t>WipeonPlateRate2</t>
  </si>
  <si>
    <t>WipeonPlateRate4</t>
  </si>
  <si>
    <t>WipeonPlateRate6</t>
  </si>
  <si>
    <t>CTPPlateRate1</t>
  </si>
  <si>
    <t>CTPPlateRate2</t>
  </si>
  <si>
    <t>CTPPlateRate4</t>
  </si>
  <si>
    <t>CTPPlateRate6</t>
  </si>
  <si>
    <t>PaperWastageRate1</t>
  </si>
  <si>
    <t>PaperWastageRate2</t>
  </si>
  <si>
    <t>PaperWastageRate4</t>
  </si>
  <si>
    <t>PaperWastageRate6</t>
  </si>
  <si>
    <t>PaperWastageMin1</t>
  </si>
  <si>
    <t>PaperWastageMin2</t>
  </si>
  <si>
    <t>PaperWastageMin4</t>
  </si>
  <si>
    <t>PaperWastageMin6</t>
  </si>
  <si>
    <t>000000</t>
  </si>
  <si>
    <t>001033</t>
  </si>
  <si>
    <t>001034</t>
  </si>
  <si>
    <t>001040</t>
  </si>
  <si>
    <t>000001</t>
  </si>
  <si>
    <t>001036</t>
  </si>
  <si>
    <t>001030</t>
  </si>
  <si>
    <t>001038</t>
  </si>
  <si>
    <t>000005</t>
  </si>
  <si>
    <t>001205</t>
  </si>
  <si>
    <t>000007</t>
  </si>
  <si>
    <t>000016</t>
  </si>
  <si>
    <t>001039</t>
  </si>
  <si>
    <t>000026</t>
  </si>
  <si>
    <t>000059</t>
  </si>
  <si>
    <t>001290</t>
  </si>
  <si>
    <t>000077</t>
  </si>
  <si>
    <t>000122</t>
  </si>
  <si>
    <t>Name</t>
  </si>
  <si>
    <t>PrintName</t>
  </si>
  <si>
    <t>Alias</t>
  </si>
  <si>
    <t>Group</t>
  </si>
  <si>
    <t>Address1</t>
  </si>
  <si>
    <t>Address2</t>
  </si>
  <si>
    <t>Address3</t>
  </si>
  <si>
    <t>Address4</t>
  </si>
  <si>
    <t>Phone</t>
  </si>
  <si>
    <t>Mobile</t>
  </si>
  <si>
    <t>TIN</t>
  </si>
  <si>
    <t>eMail</t>
  </si>
  <si>
    <t>RoundOffQty</t>
  </si>
  <si>
    <t>CreatedBy</t>
  </si>
  <si>
    <t>CreatedOn</t>
  </si>
  <si>
    <t>ModifiedBy</t>
  </si>
  <si>
    <t>ModifiedOn</t>
  </si>
  <si>
    <t>Recordstatus</t>
  </si>
  <si>
    <t>Printstatus</t>
  </si>
  <si>
    <t>001090</t>
  </si>
  <si>
    <t/>
  </si>
  <si>
    <t>M</t>
  </si>
  <si>
    <t>N</t>
  </si>
  <si>
    <t>RACHNA SAGAR PVT. LTD.</t>
  </si>
  <si>
    <t>000003</t>
  </si>
  <si>
    <t>GO-GO</t>
  </si>
  <si>
    <t>000004</t>
  </si>
  <si>
    <t>VISHWA JAGRITI MISSION</t>
  </si>
  <si>
    <t>000006</t>
  </si>
  <si>
    <t>EXCELLENT PUBLISHER</t>
  </si>
  <si>
    <t>000008</t>
  </si>
  <si>
    <t>BHARTIYA YOG SANSTHAN</t>
  </si>
  <si>
    <t>000023</t>
  </si>
  <si>
    <t>LEXISNEXIS (A DIVISION OF RELX INDIA PVT</t>
  </si>
  <si>
    <t>000034</t>
  </si>
  <si>
    <t>Vodafone</t>
  </si>
  <si>
    <t>000042</t>
  </si>
  <si>
    <t>INDIRA GANDHI NATIONAL OPEN UNIVERSITY</t>
  </si>
  <si>
    <t>000070</t>
  </si>
  <si>
    <t>Sh.Baidyanath Aryuveda Bhawan Pvt. Ltd</t>
  </si>
  <si>
    <t>Auto gold</t>
  </si>
  <si>
    <t>000079</t>
  </si>
  <si>
    <t>Zonac Knitting Machine Pvt Ltd.</t>
  </si>
  <si>
    <t>000083</t>
  </si>
  <si>
    <t>000088</t>
  </si>
  <si>
    <t>000100</t>
  </si>
  <si>
    <t>000105</t>
  </si>
  <si>
    <t>000115</t>
  </si>
  <si>
    <t>000116</t>
  </si>
  <si>
    <t>000121</t>
  </si>
  <si>
    <t>000125</t>
  </si>
  <si>
    <t>000150</t>
  </si>
  <si>
    <t>000140</t>
  </si>
  <si>
    <t>000141</t>
  </si>
  <si>
    <t>OTIK HOTEL &amp; RESORT PVT. LTD.</t>
  </si>
  <si>
    <t>000142</t>
  </si>
  <si>
    <t>000155</t>
  </si>
  <si>
    <t>000163</t>
  </si>
  <si>
    <t>000164</t>
  </si>
  <si>
    <t>000167</t>
  </si>
  <si>
    <t>NATIONAL BOOK TRUST INDIA</t>
  </si>
  <si>
    <t>000168</t>
  </si>
  <si>
    <t>001091</t>
  </si>
  <si>
    <t>000106</t>
  </si>
  <si>
    <t>000165</t>
  </si>
  <si>
    <t>MR. RAHUL</t>
  </si>
  <si>
    <t>001092</t>
  </si>
  <si>
    <t>001097</t>
  </si>
  <si>
    <t>Anand Books International Pvt Ltd.</t>
  </si>
  <si>
    <t>001201</t>
  </si>
  <si>
    <t>.</t>
  </si>
  <si>
    <t>VIKAS PUBLISHING HOUSE PVT. LTD.</t>
  </si>
  <si>
    <t>000123</t>
  </si>
  <si>
    <t>000124</t>
  </si>
  <si>
    <t>000145</t>
  </si>
  <si>
    <t>PartyName</t>
  </si>
  <si>
    <t>Size Group</t>
  </si>
  <si>
    <t>Type</t>
  </si>
  <si>
    <t>Value1</t>
  </si>
  <si>
    <t>*00001</t>
  </si>
  <si>
    <t>Coated Matt</t>
  </si>
  <si>
    <t>16</t>
  </si>
  <si>
    <t>*00002</t>
  </si>
  <si>
    <t>Coated Gloss</t>
  </si>
  <si>
    <t>*00003</t>
  </si>
  <si>
    <t xml:space="preserve"> Uncoated</t>
  </si>
  <si>
    <t>Uncoated</t>
  </si>
  <si>
    <t>*00004</t>
  </si>
  <si>
    <t>High Bulk</t>
  </si>
  <si>
    <t>*00005</t>
  </si>
  <si>
    <t>1. Printing &amp; Finishing Charges of</t>
  </si>
  <si>
    <t>Printing &amp; Finishing Charges of</t>
  </si>
  <si>
    <t>17</t>
  </si>
  <si>
    <t>*00006</t>
  </si>
  <si>
    <t>1. Text Printing Charges of</t>
  </si>
  <si>
    <t>Text Printing Charges of</t>
  </si>
  <si>
    <t>*00007</t>
  </si>
  <si>
    <t>2. Title Printing Charges of</t>
  </si>
  <si>
    <t>Title Printing Charges of</t>
  </si>
  <si>
    <t>*00008</t>
  </si>
  <si>
    <t>3. Combo Title Printing Charges of</t>
  </si>
  <si>
    <t>Combo Title Printing Charges of</t>
  </si>
  <si>
    <t>*00009</t>
  </si>
  <si>
    <t>4. Finishing Charges of</t>
  </si>
  <si>
    <t>Finishing Charges of</t>
  </si>
  <si>
    <t>*00010</t>
  </si>
  <si>
    <t>5. Binding Charges of</t>
  </si>
  <si>
    <t>Binding Charges of</t>
  </si>
  <si>
    <t>*00011</t>
  </si>
  <si>
    <t>Multi Form-1</t>
  </si>
  <si>
    <t>19</t>
  </si>
  <si>
    <t>*00012</t>
  </si>
  <si>
    <t>Multi Form-2</t>
  </si>
  <si>
    <t>*00013</t>
  </si>
  <si>
    <t>Multi Form-3</t>
  </si>
  <si>
    <t>*00014</t>
  </si>
  <si>
    <t>Single Form</t>
  </si>
  <si>
    <t>*00015</t>
  </si>
  <si>
    <t>Combo Form</t>
  </si>
  <si>
    <t>*00016</t>
  </si>
  <si>
    <t>FG</t>
  </si>
  <si>
    <t>*00017</t>
  </si>
  <si>
    <t>UFG</t>
  </si>
  <si>
    <t>*00018</t>
  </si>
  <si>
    <t>Separator</t>
  </si>
  <si>
    <t>*00019</t>
  </si>
  <si>
    <t>End Paper</t>
  </si>
  <si>
    <t>*00020</t>
  </si>
  <si>
    <t>Title</t>
  </si>
  <si>
    <t>*00021</t>
  </si>
  <si>
    <t>Per Unit</t>
  </si>
  <si>
    <t>20</t>
  </si>
  <si>
    <t>*00022</t>
  </si>
  <si>
    <t>Per Inch²</t>
  </si>
  <si>
    <t>*00023</t>
  </si>
  <si>
    <t>100 Inch²</t>
  </si>
  <si>
    <t>*00024</t>
  </si>
  <si>
    <t>1000 Inch²</t>
  </si>
  <si>
    <t>*00025</t>
  </si>
  <si>
    <t>Per 1000</t>
  </si>
  <si>
    <t>*00026</t>
  </si>
  <si>
    <t>*00030</t>
  </si>
  <si>
    <t>Poster</t>
  </si>
  <si>
    <t>*00031</t>
  </si>
  <si>
    <t>Envelope</t>
  </si>
  <si>
    <t>*00032</t>
  </si>
  <si>
    <t>Kilogram</t>
  </si>
  <si>
    <t>Kg.</t>
  </si>
  <si>
    <t>25</t>
  </si>
  <si>
    <t>*00033</t>
  </si>
  <si>
    <t>Gram</t>
  </si>
  <si>
    <t>Gr.</t>
  </si>
  <si>
    <t>*00034</t>
  </si>
  <si>
    <t>Milligram</t>
  </si>
  <si>
    <t>Mg.</t>
  </si>
  <si>
    <t>*00035</t>
  </si>
  <si>
    <t>Liter</t>
  </si>
  <si>
    <t>Ltr.</t>
  </si>
  <si>
    <t>*00036</t>
  </si>
  <si>
    <t>Milliliter</t>
  </si>
  <si>
    <t>Ml.</t>
  </si>
  <si>
    <t>*00037</t>
  </si>
  <si>
    <t>Feet</t>
  </si>
  <si>
    <t>Ft.</t>
  </si>
  <si>
    <t>*00038</t>
  </si>
  <si>
    <t>Inch</t>
  </si>
  <si>
    <t>In.</t>
  </si>
  <si>
    <t>*00039</t>
  </si>
  <si>
    <t>Meter</t>
  </si>
  <si>
    <t>Mt.</t>
  </si>
  <si>
    <t>*00040</t>
  </si>
  <si>
    <t>Centimeter</t>
  </si>
  <si>
    <t>cm.</t>
  </si>
  <si>
    <t>*00041</t>
  </si>
  <si>
    <t>Millimeter</t>
  </si>
  <si>
    <t>mm.</t>
  </si>
  <si>
    <t>*00042</t>
  </si>
  <si>
    <t>Piece</t>
  </si>
  <si>
    <t>Pec.</t>
  </si>
  <si>
    <t>*00043</t>
  </si>
  <si>
    <t>*00044</t>
  </si>
  <si>
    <t>Roll</t>
  </si>
  <si>
    <t>*00045</t>
  </si>
  <si>
    <t>*00046</t>
  </si>
  <si>
    <t>Machine To Be Decide</t>
  </si>
  <si>
    <t>21</t>
  </si>
  <si>
    <t>*00047</t>
  </si>
  <si>
    <t>Packets</t>
  </si>
  <si>
    <t>001001</t>
  </si>
  <si>
    <t>15.50X21.00</t>
  </si>
  <si>
    <t>1</t>
  </si>
  <si>
    <t>001002</t>
  </si>
  <si>
    <t>16.00X20.50</t>
  </si>
  <si>
    <t>001003</t>
  </si>
  <si>
    <t>16.00X22.00</t>
  </si>
  <si>
    <t>001004</t>
  </si>
  <si>
    <t>17.00X24.00</t>
  </si>
  <si>
    <t>001005</t>
  </si>
  <si>
    <t>18.00X23.00</t>
  </si>
  <si>
    <t>001006</t>
  </si>
  <si>
    <t>18.00X24.00</t>
  </si>
  <si>
    <t>001007</t>
  </si>
  <si>
    <t>18.00X25.00</t>
  </si>
  <si>
    <t>001008</t>
  </si>
  <si>
    <t>19.00X25.00</t>
  </si>
  <si>
    <t>001009</t>
  </si>
  <si>
    <t>20.00X26.00</t>
  </si>
  <si>
    <t>001010</t>
  </si>
  <si>
    <t>20.00X28.00</t>
  </si>
  <si>
    <t>001011</t>
  </si>
  <si>
    <t>20.00X30.00</t>
  </si>
  <si>
    <t>001012</t>
  </si>
  <si>
    <t>21.00X30.00</t>
  </si>
  <si>
    <t>001013</t>
  </si>
  <si>
    <t>21.00X31.00</t>
  </si>
  <si>
    <t>001014</t>
  </si>
  <si>
    <t>21.00X33.00</t>
  </si>
  <si>
    <t>001015</t>
  </si>
  <si>
    <t>21.00X34.00</t>
  </si>
  <si>
    <t>001016</t>
  </si>
  <si>
    <t>22.00X28.00</t>
  </si>
  <si>
    <t>001017</t>
  </si>
  <si>
    <t>22.00X32.00</t>
  </si>
  <si>
    <t>001018</t>
  </si>
  <si>
    <t>22.00X34.00</t>
  </si>
  <si>
    <t>001019</t>
  </si>
  <si>
    <t>23.00X33.00</t>
  </si>
  <si>
    <t>001020</t>
  </si>
  <si>
    <t>23.00X36.00</t>
  </si>
  <si>
    <t>001021</t>
  </si>
  <si>
    <t>24.00X34.00</t>
  </si>
  <si>
    <t>001022</t>
  </si>
  <si>
    <t>24.00X36.00</t>
  </si>
  <si>
    <t>001023</t>
  </si>
  <si>
    <t>25.00X36.00</t>
  </si>
  <si>
    <t>001024</t>
  </si>
  <si>
    <t>25.00X38.00</t>
  </si>
  <si>
    <t>001025</t>
  </si>
  <si>
    <t>26.00X40.00</t>
  </si>
  <si>
    <t>001026</t>
  </si>
  <si>
    <t>28.00X40.00</t>
  </si>
  <si>
    <t>001027</t>
  </si>
  <si>
    <t>30.00X40.00</t>
  </si>
  <si>
    <t>001028</t>
  </si>
  <si>
    <t>Extra Large(28"X40")A/P_SPL</t>
  </si>
  <si>
    <t>10</t>
  </si>
  <si>
    <t>001029</t>
  </si>
  <si>
    <t>Extra Large(28"X40")UC_ A/P_SPL</t>
  </si>
  <si>
    <t>Extra Large-30"X40"</t>
  </si>
  <si>
    <t>001031</t>
  </si>
  <si>
    <t>Extra Large-30"X40"(A/P)</t>
  </si>
  <si>
    <t>001032</t>
  </si>
  <si>
    <t>Extra Large-30"X40"(Card)</t>
  </si>
  <si>
    <t>Large-23"X36"</t>
  </si>
  <si>
    <t>LARGE-23"X36"(A/P)</t>
  </si>
  <si>
    <t>001035</t>
  </si>
  <si>
    <t>LARGE-23X36(Card)</t>
  </si>
  <si>
    <t>Medium-20"X30"</t>
  </si>
  <si>
    <t>001037</t>
  </si>
  <si>
    <t>Medium-20"X30"(A/P)</t>
  </si>
  <si>
    <t>Medium-20"X30"(Card)</t>
  </si>
  <si>
    <t>Small-19"X26"</t>
  </si>
  <si>
    <t>Small-19"X26"(Card)</t>
  </si>
  <si>
    <t>001041</t>
  </si>
  <si>
    <t>Web-508mm</t>
  </si>
  <si>
    <t>001042</t>
  </si>
  <si>
    <t>Web-578mm</t>
  </si>
  <si>
    <t>001043</t>
  </si>
  <si>
    <t>***None***</t>
  </si>
  <si>
    <t>11</t>
  </si>
  <si>
    <t>001044</t>
  </si>
  <si>
    <t>04.00X06.87</t>
  </si>
  <si>
    <t>001045</t>
  </si>
  <si>
    <t>04.25X05.50</t>
  </si>
  <si>
    <t>001046</t>
  </si>
  <si>
    <t>04.25X07.00</t>
  </si>
  <si>
    <t>001047</t>
  </si>
  <si>
    <t>04.37X07.00</t>
  </si>
  <si>
    <t>001048</t>
  </si>
  <si>
    <t>04.72X07.48</t>
  </si>
  <si>
    <t>001049</t>
  </si>
  <si>
    <t>05.00X07.00</t>
  </si>
  <si>
    <t>001050</t>
  </si>
  <si>
    <t>05.00X08.00</t>
  </si>
  <si>
    <t>001051</t>
  </si>
  <si>
    <t>05.06X07.81</t>
  </si>
  <si>
    <t>001052</t>
  </si>
  <si>
    <t>05.25X08.00</t>
  </si>
  <si>
    <t>001053</t>
  </si>
  <si>
    <t>05.50X08.50</t>
  </si>
  <si>
    <t>001054</t>
  </si>
  <si>
    <t>05.83X08.27</t>
  </si>
  <si>
    <t>001055</t>
  </si>
  <si>
    <t>06.00X08.25</t>
  </si>
  <si>
    <t>001056</t>
  </si>
  <si>
    <t>06.00X08.50</t>
  </si>
  <si>
    <t>001057</t>
  </si>
  <si>
    <t>06.00X09.00</t>
  </si>
  <si>
    <t>001058</t>
  </si>
  <si>
    <t>06.14X09.21</t>
  </si>
  <si>
    <t>001059</t>
  </si>
  <si>
    <t>06.25X09.50</t>
  </si>
  <si>
    <t>001060</t>
  </si>
  <si>
    <t>06.63X10.25</t>
  </si>
  <si>
    <t>001061</t>
  </si>
  <si>
    <t>06.69X09.61</t>
  </si>
  <si>
    <t>001062</t>
  </si>
  <si>
    <t>06.75X09.50</t>
  </si>
  <si>
    <t>001063</t>
  </si>
  <si>
    <t>07.00X07.00</t>
  </si>
  <si>
    <t>001064</t>
  </si>
  <si>
    <t>07.00X09.00</t>
  </si>
  <si>
    <t>001065</t>
  </si>
  <si>
    <t>07.00X10.00</t>
  </si>
  <si>
    <t>001066</t>
  </si>
  <si>
    <t>07.25X09.50</t>
  </si>
  <si>
    <t>001067</t>
  </si>
  <si>
    <t>07.44X09.69</t>
  </si>
  <si>
    <t>001068</t>
  </si>
  <si>
    <t>07.50X07.50</t>
  </si>
  <si>
    <t>001069</t>
  </si>
  <si>
    <t>07.50X09.25</t>
  </si>
  <si>
    <t>001070</t>
  </si>
  <si>
    <t>07.50X09.50</t>
  </si>
  <si>
    <t>001071</t>
  </si>
  <si>
    <t>07.75X10.50</t>
  </si>
  <si>
    <t>001072</t>
  </si>
  <si>
    <t>08.00X08.00</t>
  </si>
  <si>
    <t>001073</t>
  </si>
  <si>
    <t>08.00X10.00</t>
  </si>
  <si>
    <t>001074</t>
  </si>
  <si>
    <t>08.00X10.88</t>
  </si>
  <si>
    <t>001075</t>
  </si>
  <si>
    <t>08.00X11.25</t>
  </si>
  <si>
    <t>001076</t>
  </si>
  <si>
    <t>08.25X08.25</t>
  </si>
  <si>
    <t>001077</t>
  </si>
  <si>
    <t>08.25X11.00</t>
  </si>
  <si>
    <t>001078</t>
  </si>
  <si>
    <t>08.27X11.69</t>
  </si>
  <si>
    <t>001079</t>
  </si>
  <si>
    <t>08.50X08.50</t>
  </si>
  <si>
    <t>001080</t>
  </si>
  <si>
    <t>08.50X09.00</t>
  </si>
  <si>
    <t>001081</t>
  </si>
  <si>
    <t>08.50X11.00</t>
  </si>
  <si>
    <t>001082</t>
  </si>
  <si>
    <t>09.00X07.00</t>
  </si>
  <si>
    <t>001083</t>
  </si>
  <si>
    <t>09.00X12.00</t>
  </si>
  <si>
    <t>001084</t>
  </si>
  <si>
    <t>10.00X10.00</t>
  </si>
  <si>
    <t>001085</t>
  </si>
  <si>
    <t>11.00X13.00</t>
  </si>
  <si>
    <t>001086</t>
  </si>
  <si>
    <t>11.00X17.00</t>
  </si>
  <si>
    <t>001087</t>
  </si>
  <si>
    <t>11.00X18.00</t>
  </si>
  <si>
    <t>001088</t>
  </si>
  <si>
    <t>12.00X12.00</t>
  </si>
  <si>
    <t>001089</t>
  </si>
  <si>
    <t>14.00X19.00</t>
  </si>
  <si>
    <t>Account Group</t>
  </si>
  <si>
    <t>12</t>
  </si>
  <si>
    <t>Binder</t>
  </si>
  <si>
    <t>Box Supplier</t>
  </si>
  <si>
    <t>001093</t>
  </si>
  <si>
    <t>CD Suppliers</t>
  </si>
  <si>
    <t>001094</t>
  </si>
  <si>
    <t>FG Godown</t>
  </si>
  <si>
    <t>001095</t>
  </si>
  <si>
    <t>Laminator</t>
  </si>
  <si>
    <t>001096</t>
  </si>
  <si>
    <t>Packaging Supplier</t>
  </si>
  <si>
    <t>Paper Suppliers</t>
  </si>
  <si>
    <t>001098</t>
  </si>
  <si>
    <t>Printer</t>
  </si>
  <si>
    <t>001099</t>
  </si>
  <si>
    <t>Printer &amp; Binder</t>
  </si>
  <si>
    <t>001100</t>
  </si>
  <si>
    <t>Printer, Binder &amp; Laminator</t>
  </si>
  <si>
    <t>001101</t>
  </si>
  <si>
    <t>Processor &amp; Printer</t>
  </si>
  <si>
    <t>001102</t>
  </si>
  <si>
    <t>Processor, Printer &amp; Laminator</t>
  </si>
  <si>
    <t>001103</t>
  </si>
  <si>
    <t>UFG Godown</t>
  </si>
  <si>
    <t>001104</t>
  </si>
  <si>
    <t>Gross</t>
  </si>
  <si>
    <t>15</t>
  </si>
  <si>
    <t>001105</t>
  </si>
  <si>
    <t>Packet(100)</t>
  </si>
  <si>
    <t>001106</t>
  </si>
  <si>
    <t>Packet(150)</t>
  </si>
  <si>
    <t>001107</t>
  </si>
  <si>
    <t>Ream</t>
  </si>
  <si>
    <t>001108</t>
  </si>
  <si>
    <t>Reel</t>
  </si>
  <si>
    <t>5</t>
  </si>
  <si>
    <t>Item Group</t>
  </si>
  <si>
    <t>001153</t>
  </si>
  <si>
    <t>Center Pin Binding</t>
  </si>
  <si>
    <t>6</t>
  </si>
  <si>
    <t>001154</t>
  </si>
  <si>
    <t>Die_Cutting</t>
  </si>
  <si>
    <t>001155</t>
  </si>
  <si>
    <t>Die_Perforation</t>
  </si>
  <si>
    <t>001158</t>
  </si>
  <si>
    <t>Hard Bound</t>
  </si>
  <si>
    <t>001159</t>
  </si>
  <si>
    <t>None</t>
  </si>
  <si>
    <t>001161</t>
  </si>
  <si>
    <t>Perfect Binding</t>
  </si>
  <si>
    <t>001162</t>
  </si>
  <si>
    <t>Perfect Binding With Sewing</t>
  </si>
  <si>
    <t>001163</t>
  </si>
  <si>
    <t>Perfect Binding With Sewing(CD-Insert)</t>
  </si>
  <si>
    <t>001165</t>
  </si>
  <si>
    <t>Spiral Binding</t>
  </si>
  <si>
    <t>001169</t>
  </si>
  <si>
    <t>Wirro Binding</t>
  </si>
  <si>
    <t>001170</t>
  </si>
  <si>
    <t>BOPP Gloss</t>
  </si>
  <si>
    <t>7</t>
  </si>
  <si>
    <t>001171</t>
  </si>
  <si>
    <t>BOPP Matt</t>
  </si>
  <si>
    <t>001173</t>
  </si>
  <si>
    <t>Matt + Spot UV</t>
  </si>
  <si>
    <t>001174</t>
  </si>
  <si>
    <t>Matt + Spot UV + Foiling + Embossing</t>
  </si>
  <si>
    <t>001175</t>
  </si>
  <si>
    <t>Matt + Spot UV+Glitter UV</t>
  </si>
  <si>
    <t>001176</t>
  </si>
  <si>
    <t>001177</t>
  </si>
  <si>
    <t>PVC</t>
  </si>
  <si>
    <t>001180</t>
  </si>
  <si>
    <t>Thermal Matt</t>
  </si>
  <si>
    <t>001181</t>
  </si>
  <si>
    <t>Varnising</t>
  </si>
  <si>
    <t>001182</t>
  </si>
  <si>
    <t>Author ABC</t>
  </si>
  <si>
    <t>8</t>
  </si>
  <si>
    <t>001183</t>
  </si>
  <si>
    <t>Author_ABC</t>
  </si>
  <si>
    <t>001184</t>
  </si>
  <si>
    <t>DTP_ABC</t>
  </si>
  <si>
    <t>001185</t>
  </si>
  <si>
    <t>Editor</t>
  </si>
  <si>
    <t>001186</t>
  </si>
  <si>
    <t>Editor_ABC</t>
  </si>
  <si>
    <t>001187</t>
  </si>
  <si>
    <t>Editor_Mr.R.R.Tiwari(Hindi)</t>
  </si>
  <si>
    <t>001188</t>
  </si>
  <si>
    <t>Graphic_ABC</t>
  </si>
  <si>
    <t>001189</t>
  </si>
  <si>
    <t>PPQ_ABC</t>
  </si>
  <si>
    <t>001190</t>
  </si>
  <si>
    <t>Processing_S.R.K</t>
  </si>
  <si>
    <t>001191</t>
  </si>
  <si>
    <t>Proof Reader_ABC</t>
  </si>
  <si>
    <t>001192</t>
  </si>
  <si>
    <t>Type Setting_Sanjay Khanna</t>
  </si>
  <si>
    <t>001193</t>
  </si>
  <si>
    <t>CTP_Plates</t>
  </si>
  <si>
    <t>9</t>
  </si>
  <si>
    <t>001194</t>
  </si>
  <si>
    <t>Nagative-Cut Pieces</t>
  </si>
  <si>
    <t>001195</t>
  </si>
  <si>
    <t>Nagative-One Pieces</t>
  </si>
  <si>
    <t>001197</t>
  </si>
  <si>
    <t>998812</t>
  </si>
  <si>
    <t>18</t>
  </si>
  <si>
    <t>001198</t>
  </si>
  <si>
    <t>998912</t>
  </si>
  <si>
    <t>001199</t>
  </si>
  <si>
    <t>15.00X20.00 (CARD)</t>
  </si>
  <si>
    <t>001200</t>
  </si>
  <si>
    <t>Cutting &amp; Packing</t>
  </si>
  <si>
    <t>Publisher</t>
  </si>
  <si>
    <t>001204</t>
  </si>
  <si>
    <t>07.75X11.25</t>
  </si>
  <si>
    <t>Large-22"X32"</t>
  </si>
  <si>
    <t>001207</t>
  </si>
  <si>
    <t>23.00X36.00(A/P)</t>
  </si>
  <si>
    <t>001208</t>
  </si>
  <si>
    <t>18.00X23.00(Card)</t>
  </si>
  <si>
    <t>001209</t>
  </si>
  <si>
    <t>7. Title Printing &amp; Finishing Charges of</t>
  </si>
  <si>
    <t>Title Printing &amp; Finishing Charges of</t>
  </si>
  <si>
    <t>001210</t>
  </si>
  <si>
    <t>6. Text Printing &amp; Finishing Charges of</t>
  </si>
  <si>
    <t>Text Printing &amp; Finishing Charges of</t>
  </si>
  <si>
    <t>001212</t>
  </si>
  <si>
    <t>15.00X21.00</t>
  </si>
  <si>
    <t>001213</t>
  </si>
  <si>
    <t>21.00X30.00(CARD)</t>
  </si>
  <si>
    <t>001214</t>
  </si>
  <si>
    <t>20.00X25.00</t>
  </si>
  <si>
    <t>001215</t>
  </si>
  <si>
    <t>Unit Rate-GOGO CONE INNER BROWN</t>
  </si>
  <si>
    <t>001217</t>
  </si>
  <si>
    <t>8. Unit Cost Charges of</t>
  </si>
  <si>
    <t>Unit Cost Charges of</t>
  </si>
  <si>
    <t>001218</t>
  </si>
  <si>
    <t>Bundle (700)</t>
  </si>
  <si>
    <t>001219</t>
  </si>
  <si>
    <t>4820</t>
  </si>
  <si>
    <t>001221</t>
  </si>
  <si>
    <t>23.00X35.00</t>
  </si>
  <si>
    <t>001222</t>
  </si>
  <si>
    <t>08.00X11.00</t>
  </si>
  <si>
    <t>001223</t>
  </si>
  <si>
    <t>15.50X20.00</t>
  </si>
  <si>
    <t>001224</t>
  </si>
  <si>
    <t>001225</t>
  </si>
  <si>
    <t>9. Unit Cost</t>
  </si>
  <si>
    <t>001227</t>
  </si>
  <si>
    <t>001230</t>
  </si>
  <si>
    <t>11.00X16.00</t>
  </si>
  <si>
    <t>001231</t>
  </si>
  <si>
    <t>Folding &amp; Packing</t>
  </si>
  <si>
    <t>001237</t>
  </si>
  <si>
    <t>08.25X11.75</t>
  </si>
  <si>
    <t>001240</t>
  </si>
  <si>
    <t>A-4_Perfact Binding(S/C)+ve</t>
  </si>
  <si>
    <t>001241</t>
  </si>
  <si>
    <t>A-4_Perfact Binding(2/C)+ve</t>
  </si>
  <si>
    <t>001242</t>
  </si>
  <si>
    <t>A-4_Perfact Binding(3/C)+ve</t>
  </si>
  <si>
    <t>001243</t>
  </si>
  <si>
    <t>A-4_Perfact Binding(4/C)+ve</t>
  </si>
  <si>
    <t>001244</t>
  </si>
  <si>
    <t>A-4_Center Stitch(S/C)+ve</t>
  </si>
  <si>
    <t>001245</t>
  </si>
  <si>
    <t>A-4_Center Stitch(2/C)+ve</t>
  </si>
  <si>
    <t>001246</t>
  </si>
  <si>
    <t>A-4_Center Stitch(3/C)+ve</t>
  </si>
  <si>
    <t>001247</t>
  </si>
  <si>
    <t>A-4_Center Stitch(4/C)+ve</t>
  </si>
  <si>
    <t>001248</t>
  </si>
  <si>
    <t>A-5_Perfact Binding(S/C)+ve</t>
  </si>
  <si>
    <t>001249</t>
  </si>
  <si>
    <t>A-5_Perfact Binding(2/C)+ve</t>
  </si>
  <si>
    <t>001250</t>
  </si>
  <si>
    <t>A-5_Perfact Binding(3/C)+ve</t>
  </si>
  <si>
    <t>001251</t>
  </si>
  <si>
    <t>A-5_Perfact Binding(4/C)+ve</t>
  </si>
  <si>
    <t>001252</t>
  </si>
  <si>
    <t>A-5_Center Stitch(S/C)+ve</t>
  </si>
  <si>
    <t>001253</t>
  </si>
  <si>
    <t>A-5_Center Stitch(2/C)+ve</t>
  </si>
  <si>
    <t>001254</t>
  </si>
  <si>
    <t>A-5_Center Stitch(3/C)+ve</t>
  </si>
  <si>
    <t>001255</t>
  </si>
  <si>
    <t>A-5_Center Stitch(4/C)+ve</t>
  </si>
  <si>
    <t>001256</t>
  </si>
  <si>
    <t>A-4_Perfact Binding(S/C)CTP</t>
  </si>
  <si>
    <t>001257</t>
  </si>
  <si>
    <t>A-4_Perfact Binding(2/C)CTP</t>
  </si>
  <si>
    <t>001258</t>
  </si>
  <si>
    <t>A-4_Perfact Binding(3/C)CTP</t>
  </si>
  <si>
    <t>001259</t>
  </si>
  <si>
    <t>A-4_Perfact Binding(4/C)CTP</t>
  </si>
  <si>
    <t>001260</t>
  </si>
  <si>
    <t>A-4_Center Stitch(S/C)CTP</t>
  </si>
  <si>
    <t>001261</t>
  </si>
  <si>
    <t>A-4_Center Stitch(2/C)CTP</t>
  </si>
  <si>
    <t>001262</t>
  </si>
  <si>
    <t>A-4_Center Stitch(3/C)CTP</t>
  </si>
  <si>
    <t>001263</t>
  </si>
  <si>
    <t>A-4_Center Stitch(4/C)CTP</t>
  </si>
  <si>
    <t>001264</t>
  </si>
  <si>
    <t>A-5_Perfact Binding(S/C)CTP</t>
  </si>
  <si>
    <t>001265</t>
  </si>
  <si>
    <t>A-5_Perfact Binding(2/C)CTP</t>
  </si>
  <si>
    <t>001266</t>
  </si>
  <si>
    <t>A-5_Perfact Binding(3/C)CTP</t>
  </si>
  <si>
    <t>001267</t>
  </si>
  <si>
    <t>A-5_Perfact Binding(4/C)CTP</t>
  </si>
  <si>
    <t>001268</t>
  </si>
  <si>
    <t>A-5_Center Stitch(S/C)CTP</t>
  </si>
  <si>
    <t>001269</t>
  </si>
  <si>
    <t>A-5_Center Stitch(2/C)CTP</t>
  </si>
  <si>
    <t>001270</t>
  </si>
  <si>
    <t>A-5_Center Stitch(3/C)CTP</t>
  </si>
  <si>
    <t>001271</t>
  </si>
  <si>
    <t>A-5_Center Stitch(4/C)CTP</t>
  </si>
  <si>
    <t>001275</t>
  </si>
  <si>
    <t>General</t>
  </si>
  <si>
    <t>001279</t>
  </si>
  <si>
    <t>25.00X30.00</t>
  </si>
  <si>
    <t>001281</t>
  </si>
  <si>
    <t>A-4_Blank</t>
  </si>
  <si>
    <t>001282</t>
  </si>
  <si>
    <t>A-5_Blank</t>
  </si>
  <si>
    <t>001283</t>
  </si>
  <si>
    <t>001286</t>
  </si>
  <si>
    <t>26.00X38.00</t>
  </si>
  <si>
    <t>001287</t>
  </si>
  <si>
    <t>14.00X22.00</t>
  </si>
  <si>
    <t>001288</t>
  </si>
  <si>
    <t>11.00X14.00</t>
  </si>
  <si>
    <t>001291</t>
  </si>
  <si>
    <t>Small 15x20</t>
  </si>
  <si>
    <t>001292</t>
  </si>
  <si>
    <t>Spot UV</t>
  </si>
  <si>
    <t>001293</t>
  </si>
  <si>
    <t>Hybird varnish</t>
  </si>
  <si>
    <t>001294</t>
  </si>
  <si>
    <t>12.50X18.00</t>
  </si>
  <si>
    <t>001295</t>
  </si>
  <si>
    <t>001296</t>
  </si>
  <si>
    <t>001297</t>
  </si>
  <si>
    <t>19.00X38.00</t>
  </si>
  <si>
    <t>001299</t>
  </si>
  <si>
    <t>001300</t>
  </si>
  <si>
    <t>19.00X20.00</t>
  </si>
  <si>
    <t>001305</t>
  </si>
  <si>
    <t>17.00X22.00</t>
  </si>
  <si>
    <t>001306</t>
  </si>
  <si>
    <t>001307</t>
  </si>
  <si>
    <t>001308</t>
  </si>
  <si>
    <t>49111010</t>
  </si>
  <si>
    <t>001313</t>
  </si>
  <si>
    <t>001316</t>
  </si>
  <si>
    <t>11.50X18.00</t>
  </si>
  <si>
    <t>001317</t>
  </si>
  <si>
    <t>16.00X25.00</t>
  </si>
  <si>
    <t>001318</t>
  </si>
  <si>
    <t>12.00X23.00</t>
  </si>
  <si>
    <t>001319</t>
  </si>
  <si>
    <t>001320</t>
  </si>
  <si>
    <t>06.5X9.5</t>
  </si>
  <si>
    <t>001322</t>
  </si>
  <si>
    <t>21.00X32.00</t>
  </si>
  <si>
    <t>001323</t>
  </si>
  <si>
    <t>05.30X08.30</t>
  </si>
  <si>
    <t>001324</t>
  </si>
  <si>
    <t>13.00X19.00</t>
  </si>
  <si>
    <t>001325</t>
  </si>
  <si>
    <t>11.50X10.75</t>
  </si>
  <si>
    <t>001326</t>
  </si>
  <si>
    <t>08.50X10.75</t>
  </si>
  <si>
    <t>001328</t>
  </si>
  <si>
    <t>02.00X03.00</t>
  </si>
  <si>
    <t>001329</t>
  </si>
  <si>
    <t>11.50X07.00</t>
  </si>
  <si>
    <t>001330</t>
  </si>
  <si>
    <t>31.50X41.50</t>
  </si>
  <si>
    <t>001331</t>
  </si>
  <si>
    <t>15.50X20.50</t>
  </si>
  <si>
    <t>001333</t>
  </si>
  <si>
    <t>05.50X19.00</t>
  </si>
  <si>
    <t>001334</t>
  </si>
  <si>
    <t>10.25X07.50</t>
  </si>
  <si>
    <t>001336</t>
  </si>
  <si>
    <t>20.50X31.00</t>
  </si>
  <si>
    <t>001337</t>
  </si>
  <si>
    <t>20.00X31.00</t>
  </si>
  <si>
    <t>001338</t>
  </si>
  <si>
    <t>20.00X24.00</t>
  </si>
  <si>
    <t>001339</t>
  </si>
  <si>
    <t>20.50X24.00</t>
  </si>
  <si>
    <t>001347</t>
  </si>
  <si>
    <t>07.50X13.75</t>
  </si>
  <si>
    <t>001348</t>
  </si>
  <si>
    <t>16.00X20.00</t>
  </si>
  <si>
    <t>001349</t>
  </si>
  <si>
    <t>28.00X35.00</t>
  </si>
  <si>
    <t>001350</t>
  </si>
  <si>
    <t>15.00X27.50</t>
  </si>
  <si>
    <t>001352</t>
  </si>
  <si>
    <t>07.00X02.50</t>
  </si>
  <si>
    <t>001355</t>
  </si>
  <si>
    <t>001356</t>
  </si>
  <si>
    <t>001359</t>
  </si>
  <si>
    <t>001360</t>
  </si>
  <si>
    <t>001361</t>
  </si>
  <si>
    <t>001363</t>
  </si>
  <si>
    <t>001365</t>
  </si>
  <si>
    <t>001366</t>
  </si>
  <si>
    <t>001369</t>
  </si>
  <si>
    <t>001370</t>
  </si>
  <si>
    <t>001371</t>
  </si>
  <si>
    <t>001372</t>
  </si>
  <si>
    <t>001373</t>
  </si>
  <si>
    <t>001374</t>
  </si>
  <si>
    <t>001375</t>
  </si>
  <si>
    <t>001376</t>
  </si>
  <si>
    <t>001377</t>
  </si>
  <si>
    <t>001378</t>
  </si>
  <si>
    <t>001379</t>
  </si>
  <si>
    <t>001380</t>
  </si>
  <si>
    <t>001381</t>
  </si>
  <si>
    <t>001384</t>
  </si>
  <si>
    <t>001385</t>
  </si>
  <si>
    <t>001386</t>
  </si>
  <si>
    <t>001387</t>
  </si>
  <si>
    <t>001388</t>
  </si>
  <si>
    <t>001389</t>
  </si>
  <si>
    <t>001390</t>
  </si>
  <si>
    <t>001391</t>
  </si>
  <si>
    <t>001393</t>
  </si>
  <si>
    <t>001394</t>
  </si>
  <si>
    <t>001395</t>
  </si>
  <si>
    <t>Hologram</t>
  </si>
  <si>
    <t>001396</t>
  </si>
  <si>
    <t>001397</t>
  </si>
  <si>
    <t>001398</t>
  </si>
  <si>
    <t>001399</t>
  </si>
  <si>
    <t>001400</t>
  </si>
  <si>
    <t>001401</t>
  </si>
  <si>
    <t>001402</t>
  </si>
  <si>
    <t>001403</t>
  </si>
  <si>
    <t>001404</t>
  </si>
  <si>
    <t>001405</t>
  </si>
  <si>
    <t>001406</t>
  </si>
  <si>
    <t>001407</t>
  </si>
  <si>
    <t>001408</t>
  </si>
  <si>
    <t>001409</t>
  </si>
  <si>
    <t>001410</t>
  </si>
  <si>
    <t>001411</t>
  </si>
  <si>
    <t>001412</t>
  </si>
  <si>
    <t>001413</t>
  </si>
  <si>
    <t>001414</t>
  </si>
  <si>
    <t>001415</t>
  </si>
  <si>
    <t>001416</t>
  </si>
  <si>
    <t>001417</t>
  </si>
  <si>
    <t>001418</t>
  </si>
  <si>
    <t>001419</t>
  </si>
  <si>
    <t>001420</t>
  </si>
  <si>
    <t>001421</t>
  </si>
  <si>
    <t>001422</t>
  </si>
  <si>
    <t>001423</t>
  </si>
  <si>
    <t>001424</t>
  </si>
  <si>
    <t>001425</t>
  </si>
  <si>
    <t>001426</t>
  </si>
  <si>
    <t>001427</t>
  </si>
  <si>
    <t>001428</t>
  </si>
  <si>
    <t>001429</t>
  </si>
  <si>
    <t>001430</t>
  </si>
  <si>
    <t>001431</t>
  </si>
  <si>
    <t>001432</t>
  </si>
  <si>
    <t>001433</t>
  </si>
  <si>
    <t>001434</t>
  </si>
  <si>
    <t>001435</t>
  </si>
  <si>
    <t>001436</t>
  </si>
  <si>
    <t>001437</t>
  </si>
  <si>
    <t>21.00X36.00</t>
  </si>
  <si>
    <t>001525</t>
  </si>
  <si>
    <t>Cartage</t>
  </si>
  <si>
    <t>21.50X29.00</t>
  </si>
  <si>
    <t>12.00X18.00</t>
  </si>
  <si>
    <t>25.50X31.75</t>
  </si>
  <si>
    <t>001570</t>
  </si>
  <si>
    <t>07.00X09.50</t>
  </si>
  <si>
    <t>26.00X34.00</t>
  </si>
  <si>
    <t>001573</t>
  </si>
  <si>
    <t>001574</t>
  </si>
  <si>
    <t>001576</t>
  </si>
  <si>
    <t>001579</t>
  </si>
  <si>
    <t>001580</t>
  </si>
  <si>
    <t>001581</t>
  </si>
  <si>
    <t>Paper Type</t>
  </si>
  <si>
    <t>Std. Narration</t>
  </si>
  <si>
    <t>Element</t>
  </si>
  <si>
    <t>Rate Unit</t>
  </si>
  <si>
    <t>Unit</t>
  </si>
  <si>
    <t>Machine</t>
  </si>
  <si>
    <t>Finish Size</t>
  </si>
  <si>
    <t>Paper Unit</t>
  </si>
  <si>
    <t>Binding Type</t>
  </si>
  <si>
    <t>Misc. Operation</t>
  </si>
  <si>
    <t>Employee</t>
  </si>
  <si>
    <t>BOM</t>
  </si>
  <si>
    <t>HSN CODE</t>
  </si>
  <si>
    <t>04.50X01.75</t>
  </si>
  <si>
    <t>Extra Large(28"X40")</t>
  </si>
  <si>
    <t>04.00X06.00</t>
  </si>
  <si>
    <t>17.50X22.50</t>
  </si>
  <si>
    <t>11.50X08.00</t>
  </si>
  <si>
    <t>06.50X09.50</t>
  </si>
  <si>
    <t>15.00X20.00</t>
  </si>
  <si>
    <t>Label With Leaflng</t>
  </si>
  <si>
    <t>Label Without Leafing</t>
  </si>
  <si>
    <t>Unit Rate 32 Page</t>
  </si>
  <si>
    <t>Unit Rate 40 Pages</t>
  </si>
  <si>
    <t>Unit Rate C/B 1 Kg</t>
  </si>
  <si>
    <t>Unit Rate C/B 1/2 Kg</t>
  </si>
  <si>
    <t>001583</t>
  </si>
  <si>
    <t>Unit Rate M/c Pastry Box 3 Pcs</t>
  </si>
  <si>
    <t>001584</t>
  </si>
  <si>
    <t>Unit Rate M/c Cake Box 1/2 Kg</t>
  </si>
  <si>
    <t>001586</t>
  </si>
  <si>
    <t>Unit rate Pack 3</t>
  </si>
  <si>
    <t>001587</t>
  </si>
  <si>
    <t>Unit Rate PVC 3</t>
  </si>
  <si>
    <t>001588</t>
  </si>
  <si>
    <t>Unit Rate Pack &amp; Pvc 5 Pcs</t>
  </si>
  <si>
    <t>001589</t>
  </si>
  <si>
    <t>Unit Rate Tag</t>
  </si>
  <si>
    <t>001590</t>
  </si>
  <si>
    <t>Unit Rate Pack 6 Pcs</t>
  </si>
  <si>
    <t>001591</t>
  </si>
  <si>
    <t>Unit Rate PVC 6 Pcs</t>
  </si>
  <si>
    <t>001592</t>
  </si>
  <si>
    <t>Unit Rate Poster 14"x19"</t>
  </si>
  <si>
    <t>001593</t>
  </si>
  <si>
    <t>Unit Rate Poster 17"x22"</t>
  </si>
  <si>
    <t>001594</t>
  </si>
  <si>
    <t>Die Cutting</t>
  </si>
  <si>
    <t>001595</t>
  </si>
  <si>
    <t>Pasting</t>
  </si>
  <si>
    <t>17.00X26.00</t>
  </si>
  <si>
    <t>13.00X20.00</t>
  </si>
  <si>
    <t>001600</t>
  </si>
  <si>
    <t>Little-11.50"X18.00"</t>
  </si>
  <si>
    <t>13.00X17.00</t>
  </si>
  <si>
    <t>10.00X15.00</t>
  </si>
  <si>
    <t>10.00X13.00</t>
  </si>
  <si>
    <t>*00048</t>
  </si>
  <si>
    <t>Per KG</t>
  </si>
  <si>
    <t>*00049</t>
  </si>
  <si>
    <t>Minimum</t>
  </si>
  <si>
    <t>*00050</t>
  </si>
  <si>
    <t>Maximum</t>
  </si>
  <si>
    <t>Default</t>
  </si>
  <si>
    <t>TextSize</t>
  </si>
  <si>
    <t>Ups/Form</t>
  </si>
  <si>
    <t>Ups/BdgForm</t>
  </si>
  <si>
    <t>TitleSize</t>
  </si>
  <si>
    <t>Text Size</t>
  </si>
  <si>
    <t>Title  Size</t>
  </si>
  <si>
    <t>LaminationType</t>
  </si>
  <si>
    <t>CalcMode</t>
  </si>
  <si>
    <t>Rate</t>
  </si>
  <si>
    <t>Range</t>
  </si>
  <si>
    <t>Party Name</t>
  </si>
  <si>
    <t>Operation</t>
  </si>
  <si>
    <t>Calculation Mode</t>
  </si>
  <si>
    <t>Operaton</t>
  </si>
  <si>
    <t>MO SIZE</t>
  </si>
  <si>
    <t>04.75X07.00</t>
  </si>
  <si>
    <t>06.00X08.00</t>
  </si>
  <si>
    <t>000166</t>
  </si>
  <si>
    <t>000169</t>
  </si>
  <si>
    <t>000170</t>
  </si>
  <si>
    <t>BindingType</t>
  </si>
  <si>
    <t>Range04</t>
  </si>
  <si>
    <t>Range06</t>
  </si>
  <si>
    <t>Range08</t>
  </si>
  <si>
    <t>Range12</t>
  </si>
  <si>
    <t>Range16</t>
  </si>
  <si>
    <t>Range24</t>
  </si>
  <si>
    <t>Range32</t>
  </si>
  <si>
    <t>Range64</t>
  </si>
  <si>
    <t>FormStitchRate04</t>
  </si>
  <si>
    <t>FormStitchRate06</t>
  </si>
  <si>
    <t>FormStitchRate08</t>
  </si>
  <si>
    <t>FormStitchRate12</t>
  </si>
  <si>
    <t>FormStitchRate16</t>
  </si>
  <si>
    <t>FormStitchRate24</t>
  </si>
  <si>
    <t>FormStitchRate32</t>
  </si>
  <si>
    <t>FormStitchRate64</t>
  </si>
  <si>
    <t>FormPasteRate04</t>
  </si>
  <si>
    <t>FormPasteRate06</t>
  </si>
  <si>
    <t>FormPasteRate08</t>
  </si>
  <si>
    <t>FormPasteRate12</t>
  </si>
  <si>
    <t>FormPasteRate16</t>
  </si>
  <si>
    <t>FormPasteRate24</t>
  </si>
  <si>
    <t>FormPasteRate32</t>
  </si>
  <si>
    <t>FormPasteRate64</t>
  </si>
  <si>
    <t>FormFoldRate04</t>
  </si>
  <si>
    <t>FormFoldRate06</t>
  </si>
  <si>
    <t>FormFoldRate08</t>
  </si>
  <si>
    <t>FormFoldRate12</t>
  </si>
  <si>
    <t>FormFoldRate16</t>
  </si>
  <si>
    <t>FormFoldRate24</t>
  </si>
  <si>
    <t>FormFoldRate32</t>
  </si>
  <si>
    <t>FormFoldRate64</t>
  </si>
  <si>
    <t>Rate/Book04</t>
  </si>
  <si>
    <t>Rate/Book06</t>
  </si>
  <si>
    <t>Rate/Book08</t>
  </si>
  <si>
    <t>Rate/Book12</t>
  </si>
  <si>
    <t>Rate/Book16</t>
  </si>
  <si>
    <t>Rate/Book24</t>
  </si>
  <si>
    <t>Rate/Book32</t>
  </si>
  <si>
    <t>Rate/Book64</t>
  </si>
  <si>
    <t>PktPackRate</t>
  </si>
  <si>
    <t>BoxPackRate</t>
  </si>
  <si>
    <t>Cartage/Box</t>
  </si>
  <si>
    <t>001620</t>
  </si>
  <si>
    <t>001621</t>
  </si>
  <si>
    <t>001622</t>
  </si>
  <si>
    <t>Packing&amp;Forwarding-upto-160</t>
  </si>
  <si>
    <t>Packing&amp;Forwarding-Above-160</t>
  </si>
  <si>
    <t>Packing&amp;Forwarding-Min. Charge</t>
  </si>
  <si>
    <t>First Impresion Corporate (Rate)</t>
  </si>
  <si>
    <t>First Impresion Corporate Services</t>
  </si>
  <si>
    <t>FICSPL</t>
  </si>
  <si>
    <t>E-114, Sector -63, Noida</t>
  </si>
  <si>
    <t>Noida, U.P.-201301,India</t>
  </si>
  <si>
    <t>+91-120-4246315</t>
  </si>
  <si>
    <t>+91-93-5421-6020</t>
  </si>
  <si>
    <t>09AACF1547N1ZE</t>
  </si>
  <si>
    <t>FIRSTPRESS@GMAIL.COM</t>
  </si>
  <si>
    <t>Kalra Paper Impex</t>
  </si>
  <si>
    <t>C 272, Sector 10, NOIDA</t>
  </si>
  <si>
    <t>01204212377</t>
  </si>
  <si>
    <t>9999902818</t>
  </si>
  <si>
    <t>09BREPK0842G1ZX</t>
  </si>
  <si>
    <t>kalrapaperimpex@gmail.com</t>
  </si>
  <si>
    <t>Frank Education</t>
  </si>
  <si>
    <t>A-39, Sector-4, Noida</t>
  </si>
  <si>
    <t>xx</t>
  </si>
  <si>
    <t>Goyal Brothers Prakashan</t>
  </si>
  <si>
    <t>Noida</t>
  </si>
  <si>
    <t>Orient Blackswan Pvt. Ltd.</t>
  </si>
  <si>
    <t>New Delhi</t>
  </si>
  <si>
    <t>Anshu Prakashan (Redision)</t>
  </si>
  <si>
    <t>Rate Card for Publication</t>
  </si>
  <si>
    <t>000171</t>
  </si>
  <si>
    <t>Millenium Book Source (P) Ltd.</t>
  </si>
  <si>
    <t>000172</t>
  </si>
  <si>
    <t>PM publishers Pvt. Ltd.</t>
  </si>
  <si>
    <t>000173</t>
  </si>
  <si>
    <t>Beacon Publication</t>
  </si>
  <si>
    <t>000174</t>
  </si>
  <si>
    <t>Brijwasi</t>
  </si>
  <si>
    <t>000175</t>
  </si>
  <si>
    <t>Arvind Prakashan</t>
  </si>
  <si>
    <t>SUMAT PRASHAD &amp; SONS</t>
  </si>
  <si>
    <t>355, CHAWRI BAZAR, DELHI - 110006</t>
  </si>
  <si>
    <t>07AAAFS4311C1ZU</t>
  </si>
  <si>
    <t>New Saraswati House (India) Pvt Ltd</t>
  </si>
  <si>
    <t>9, Second Floor, MGM Tower</t>
  </si>
  <si>
    <t>Ansari road,</t>
  </si>
  <si>
    <t>Daryaganj, New Delhi 02</t>
  </si>
  <si>
    <t>07AAECN5485F1ZA</t>
  </si>
  <si>
    <t>Harbour Press International</t>
  </si>
  <si>
    <t>418, The Summit Business Bay Omkar</t>
  </si>
  <si>
    <t>Near Weh Metro Station</t>
  </si>
  <si>
    <t>Andheri (E) Mumbai</t>
  </si>
  <si>
    <t>27AAEPS1531N1ZG</t>
  </si>
  <si>
    <t>000176</t>
  </si>
  <si>
    <t>Altis</t>
  </si>
  <si>
    <t>000177</t>
  </si>
  <si>
    <t>Aris Printer (Rajappan Ji)</t>
  </si>
  <si>
    <t>000178</t>
  </si>
  <si>
    <t>Saar Books</t>
  </si>
  <si>
    <t>000179</t>
  </si>
  <si>
    <t>Souvenir</t>
  </si>
  <si>
    <t>000180</t>
  </si>
  <si>
    <t>Nirwanza</t>
  </si>
  <si>
    <t>000181</t>
  </si>
  <si>
    <t>Mudrak</t>
  </si>
  <si>
    <t>First Impresion Corporate Services P LTD</t>
  </si>
  <si>
    <t>STORE - RYOBI</t>
  </si>
  <si>
    <t>OPEINING STOCK OF GENERAL ITEM</t>
  </si>
  <si>
    <t>STORE - SM 102</t>
  </si>
  <si>
    <t>STORE - SM 74</t>
  </si>
  <si>
    <t>STORE - Lamination Machine</t>
  </si>
  <si>
    <t>STORE - Perfect Machine</t>
  </si>
  <si>
    <t>STORE-CUTTING M/C</t>
  </si>
  <si>
    <t>STORE - SEWING M/C</t>
  </si>
  <si>
    <t>STORE- C.T.P</t>
  </si>
  <si>
    <t>STORE-DIE</t>
  </si>
  <si>
    <t>STORE - GATHERING</t>
  </si>
  <si>
    <t>STORE- ALL TIME PLATE STORE</t>
  </si>
  <si>
    <t>STORE-S.G PROCESS HOUSE</t>
  </si>
  <si>
    <t>STORE- S.G PROCESS HOUSE</t>
  </si>
  <si>
    <t>STORE- S.G PRINT PACK</t>
  </si>
  <si>
    <t>STORE-CANCEL PLATE</t>
  </si>
  <si>
    <t>Code2</t>
  </si>
  <si>
    <t>Cover Creasing</t>
  </si>
  <si>
    <t>Lincense Key Pasting</t>
  </si>
  <si>
    <t>Bags</t>
  </si>
  <si>
    <t>Sets</t>
  </si>
  <si>
    <t>18.00X23.00 (Card)</t>
  </si>
  <si>
    <t>11.00x15.75</t>
  </si>
  <si>
    <t>Extra Large(28"X40") MAP</t>
  </si>
  <si>
    <t>Spot UV / Full UV</t>
  </si>
  <si>
    <t>16.00x20.00</t>
  </si>
  <si>
    <t>Die Making Charges</t>
  </si>
  <si>
    <t>Die Cutting Charges</t>
  </si>
  <si>
    <t>Foiling Charges</t>
  </si>
  <si>
    <t>Cutting Only</t>
  </si>
  <si>
    <t>Cutting Leaflet Only</t>
  </si>
  <si>
    <t>Packing Shrink</t>
  </si>
  <si>
    <t>04.00x07.50</t>
  </si>
  <si>
    <t>Counting &amp; Fabrication</t>
  </si>
  <si>
    <t>Printing Only 1 Color 1 Side</t>
  </si>
  <si>
    <t>16.00X24.00</t>
  </si>
  <si>
    <t>16.00X30.00</t>
  </si>
  <si>
    <t>Digital Print</t>
  </si>
  <si>
    <t>21.50X28.50</t>
  </si>
  <si>
    <t>Packet(200)</t>
  </si>
  <si>
    <t>CD / Booklet Instrion</t>
  </si>
  <si>
    <t>Strapping</t>
  </si>
  <si>
    <t>Client</t>
  </si>
  <si>
    <t>Pasting Charges</t>
  </si>
  <si>
    <t>Box Packing</t>
  </si>
  <si>
    <t>Binding Only</t>
  </si>
  <si>
    <t>09.00X14.00</t>
  </si>
  <si>
    <t>15.50X21.50</t>
  </si>
  <si>
    <t>26.00X40.00 Map</t>
  </si>
  <si>
    <t>21.0X31.00</t>
  </si>
  <si>
    <t>Hardbound Binding</t>
  </si>
  <si>
    <t>10 Lamination Charges</t>
  </si>
  <si>
    <t>Lamination Charges</t>
  </si>
  <si>
    <t>05.25X07.00</t>
  </si>
  <si>
    <t>Cutting and Packing</t>
  </si>
  <si>
    <t>08.00X10.50</t>
  </si>
  <si>
    <t>Half Die Cut</t>
  </si>
  <si>
    <t>Half Die Cutting Charges</t>
  </si>
  <si>
    <t>11 Printed Book</t>
  </si>
  <si>
    <t>Printed Book</t>
  </si>
  <si>
    <t>Loose</t>
  </si>
  <si>
    <t>Material Center</t>
  </si>
  <si>
    <t>Pad Gumming</t>
  </si>
  <si>
    <t>07.50X08.50</t>
  </si>
  <si>
    <t>Graning</t>
  </si>
  <si>
    <t>Embossing</t>
  </si>
  <si>
    <t>Pakki Binding</t>
  </si>
  <si>
    <t>Kachchi Binding</t>
  </si>
  <si>
    <t>Creasing+Folding+Packing</t>
  </si>
  <si>
    <t>16.50X10.50</t>
  </si>
  <si>
    <t>MINI Offset JOB</t>
  </si>
  <si>
    <t>Paper Cost</t>
  </si>
  <si>
    <t>RYOBI - 4 Col</t>
  </si>
  <si>
    <t>SM 102 28x40</t>
  </si>
  <si>
    <t>03.25X04.75</t>
  </si>
  <si>
    <t>Printing 4 Col</t>
  </si>
  <si>
    <t>Plate</t>
  </si>
  <si>
    <t>SM 74 20x29</t>
  </si>
  <si>
    <t>Heidel 2 Col</t>
  </si>
  <si>
    <t>Cons. Supplier</t>
  </si>
  <si>
    <t>09.75X11.00</t>
  </si>
  <si>
    <t>UV Hybraid</t>
  </si>
  <si>
    <t>RGN-Cool Luke-Energing Exfoliator (450 g</t>
  </si>
  <si>
    <t>10.00X29.00</t>
  </si>
  <si>
    <t>13.50X18.00</t>
  </si>
  <si>
    <t>21.00X35.00</t>
  </si>
  <si>
    <t>Printing Range</t>
  </si>
  <si>
    <t>Printing Rate</t>
  </si>
  <si>
    <t>PS Plate</t>
  </si>
  <si>
    <t>Deep-Etch Plate</t>
  </si>
  <si>
    <t>Wipe-On Plate</t>
  </si>
  <si>
    <t>Paper Wastage %</t>
  </si>
  <si>
    <t>Paper Wastage Mimimum Sheets</t>
  </si>
  <si>
    <t>Binding Form Range</t>
  </si>
  <si>
    <t>Form Stitching Rate</t>
  </si>
  <si>
    <t>Cover Pasting Rate</t>
  </si>
  <si>
    <t>Folding Rate</t>
  </si>
  <si>
    <t>Per Book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</si>
</sst>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dd\,\ mmmm\ dd\,\ yyyy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2"/>
      <name val="Calibri"/>
      <family val="2"/>
      <scheme val="minor"/>
    </font>
    <font>
      <sz val="11"/>
      <color indexed="8"/>
      <name val="Calibri"/>
      <charset val="162"/>
    </font>
    <font>
      <sz val="10"/>
      <color indexed="8"/>
      <name val="Arial"/>
    </font>
    <font>
      <sz val="11"/>
      <color indexed="8"/>
      <name val="Calibri"/>
    </font>
    <font>
      <b/>
      <sz val="12"/>
      <color theme="1"/>
      <name val="Imperial BT"/>
      <family val="1"/>
    </font>
    <font>
      <b/>
      <sz val="16"/>
      <color theme="1"/>
      <name val="Imperial BT"/>
      <family val="1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/>
      <top/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9" fillId="0" borderId="0"/>
    <xf numFmtId="0" fontId="9" fillId="0" borderId="0"/>
    <xf numFmtId="0" fontId="9" fillId="0" borderId="0"/>
  </cellStyleXfs>
  <cellXfs count="76">
    <xf numFmtId="0" fontId="0" fillId="0" borderId="0" xfId="0"/>
    <xf numFmtId="0" fontId="3" fillId="2" borderId="1" xfId="4" applyFont="1" applyFill="1" applyBorder="1" applyAlignment="1">
      <alignment horizontal="center"/>
    </xf>
    <xf numFmtId="49" fontId="3" fillId="3" borderId="2" xfId="3" applyNumberFormat="1" applyFont="1" applyFill="1" applyBorder="1" applyAlignment="1"/>
    <xf numFmtId="49" fontId="0" fillId="0" borderId="0" xfId="0" applyNumberFormat="1"/>
    <xf numFmtId="49" fontId="3" fillId="2" borderId="1" xfId="2" applyNumberFormat="1" applyFont="1" applyFill="1" applyBorder="1" applyAlignment="1">
      <alignment horizontal="center"/>
    </xf>
    <xf numFmtId="49" fontId="3" fillId="0" borderId="2" xfId="2" applyNumberFormat="1" applyFont="1" applyFill="1" applyBorder="1" applyAlignment="1">
      <alignment wrapText="1"/>
    </xf>
    <xf numFmtId="49" fontId="3" fillId="3" borderId="2" xfId="4" applyNumberFormat="1" applyFont="1" applyFill="1" applyBorder="1" applyAlignment="1"/>
    <xf numFmtId="0" fontId="0" fillId="0" borderId="0" xfId="0" applyAlignment="1">
      <alignment horizontal="center"/>
    </xf>
    <xf numFmtId="0" fontId="3" fillId="2" borderId="3" xfId="4" applyFont="1" applyFill="1" applyBorder="1" applyAlignment="1">
      <alignment horizontal="center"/>
    </xf>
    <xf numFmtId="0" fontId="2" fillId="0" borderId="0" xfId="0" applyFont="1" applyFill="1"/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49" fontId="3" fillId="3" borderId="2" xfId="4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0" fontId="3" fillId="2" borderId="1" xfId="2" applyFont="1" applyFill="1" applyBorder="1" applyAlignment="1" applyProtection="1">
      <alignment horizontal="center"/>
      <protection locked="0"/>
    </xf>
    <xf numFmtId="0" fontId="3" fillId="0" borderId="2" xfId="4" applyFont="1" applyBorder="1"/>
    <xf numFmtId="0" fontId="2" fillId="0" borderId="0" xfId="0" applyFont="1"/>
    <xf numFmtId="0" fontId="3" fillId="3" borderId="2" xfId="4" applyFont="1" applyFill="1" applyBorder="1"/>
    <xf numFmtId="0" fontId="3" fillId="0" borderId="0" xfId="4" applyFont="1" applyBorder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2" fontId="0" fillId="0" borderId="0" xfId="0" applyNumberFormat="1"/>
    <xf numFmtId="0" fontId="0" fillId="0" borderId="0" xfId="0" applyFill="1"/>
    <xf numFmtId="0" fontId="3" fillId="0" borderId="1" xfId="5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8" fillId="2" borderId="1" xfId="6" applyFon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2" borderId="0" xfId="8" applyFont="1" applyFill="1" applyBorder="1" applyAlignment="1">
      <alignment horizontal="center"/>
    </xf>
    <xf numFmtId="0" fontId="3" fillId="0" borderId="0" xfId="5" applyFont="1" applyFill="1" applyBorder="1" applyAlignment="1">
      <alignment horizontal="center"/>
    </xf>
    <xf numFmtId="0" fontId="8" fillId="0" borderId="0" xfId="8" applyFont="1" applyFill="1" applyBorder="1" applyAlignment="1">
      <alignment horizontal="right" wrapText="1"/>
    </xf>
    <xf numFmtId="0" fontId="8" fillId="0" borderId="0" xfId="7" applyFont="1" applyFill="1" applyBorder="1" applyAlignment="1">
      <alignment horizontal="right" wrapText="1"/>
    </xf>
    <xf numFmtId="49" fontId="0" fillId="0" borderId="0" xfId="0" applyNumberFormat="1" applyBorder="1"/>
    <xf numFmtId="0" fontId="3" fillId="2" borderId="1" xfId="2" applyFont="1" applyFill="1" applyBorder="1" applyAlignment="1">
      <alignment horizontal="center" vertical="center"/>
    </xf>
    <xf numFmtId="2" fontId="3" fillId="2" borderId="1" xfId="2" applyNumberFormat="1" applyFont="1" applyFill="1" applyBorder="1" applyAlignment="1">
      <alignment horizontal="center" vertical="center"/>
    </xf>
    <xf numFmtId="0" fontId="3" fillId="0" borderId="2" xfId="2" applyFont="1" applyFill="1" applyBorder="1" applyAlignment="1">
      <alignment horizontal="center" vertical="center" wrapText="1"/>
    </xf>
    <xf numFmtId="2" fontId="3" fillId="0" borderId="2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2" xfId="2" applyNumberFormat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/>
    </xf>
    <xf numFmtId="2" fontId="0" fillId="0" borderId="0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2" borderId="1" xfId="9" applyFont="1" applyFill="1" applyBorder="1" applyAlignment="1">
      <alignment horizontal="center" vertical="center"/>
    </xf>
    <xf numFmtId="0" fontId="8" fillId="0" borderId="2" xfId="9" applyFont="1" applyFill="1" applyBorder="1" applyAlignment="1">
      <alignment horizontal="center" vertical="center" wrapText="1"/>
    </xf>
    <xf numFmtId="49" fontId="8" fillId="2" borderId="1" xfId="9" applyNumberFormat="1" applyFont="1" applyFill="1" applyBorder="1" applyAlignment="1">
      <alignment horizontal="center" vertical="center"/>
    </xf>
    <xf numFmtId="49" fontId="8" fillId="0" borderId="2" xfId="9" applyNumberFormat="1" applyFont="1" applyFill="1" applyBorder="1" applyAlignment="1">
      <alignment horizontal="center" vertical="center" wrapText="1"/>
    </xf>
    <xf numFmtId="0" fontId="8" fillId="0" borderId="2" xfId="6" applyFont="1" applyFill="1" applyBorder="1" applyAlignment="1"/>
    <xf numFmtId="164" fontId="8" fillId="0" borderId="2" xfId="6" applyNumberFormat="1" applyFont="1" applyFill="1" applyBorder="1" applyAlignment="1">
      <alignment horizontal="right"/>
    </xf>
    <xf numFmtId="0" fontId="9" fillId="0" borderId="0" xfId="6" applyAlignment="1"/>
    <xf numFmtId="0" fontId="8" fillId="0" borderId="2" xfId="6" applyFont="1" applyFill="1" applyBorder="1" applyAlignment="1">
      <alignment horizontal="center"/>
    </xf>
    <xf numFmtId="49" fontId="8" fillId="2" borderId="1" xfId="6" applyNumberFormat="1" applyFont="1" applyFill="1" applyBorder="1" applyAlignment="1">
      <alignment horizontal="center"/>
    </xf>
    <xf numFmtId="49" fontId="8" fillId="0" borderId="2" xfId="6" applyNumberFormat="1" applyFont="1" applyFill="1" applyBorder="1" applyAlignment="1"/>
    <xf numFmtId="14" fontId="0" fillId="0" borderId="0" xfId="0" applyNumberFormat="1"/>
    <xf numFmtId="49" fontId="8" fillId="2" borderId="0" xfId="8" applyNumberFormat="1" applyFont="1" applyFill="1" applyBorder="1" applyAlignment="1">
      <alignment horizontal="center"/>
    </xf>
    <xf numFmtId="49" fontId="8" fillId="0" borderId="0" xfId="8" applyNumberFormat="1" applyFont="1" applyFill="1" applyBorder="1" applyAlignment="1">
      <alignment wrapText="1"/>
    </xf>
    <xf numFmtId="49" fontId="8" fillId="0" borderId="0" xfId="7" applyNumberFormat="1" applyFont="1" applyFill="1" applyBorder="1" applyAlignment="1">
      <alignment wrapText="1"/>
    </xf>
    <xf numFmtId="49" fontId="8" fillId="0" borderId="0" xfId="7" applyNumberFormat="1" applyFont="1" applyFill="1" applyBorder="1" applyAlignment="1">
      <alignment horizontal="right" wrapText="1"/>
    </xf>
    <xf numFmtId="0" fontId="0" fillId="0" borderId="0" xfId="0" applyAlignment="1" applyProtection="1">
      <alignment horizontal="center" vertical="center"/>
      <protection locked="0"/>
    </xf>
    <xf numFmtId="0" fontId="3" fillId="2" borderId="1" xfId="2" applyFont="1" applyFill="1" applyBorder="1" applyAlignment="1" applyProtection="1">
      <alignment horizontal="center" vertical="center"/>
      <protection locked="0"/>
    </xf>
    <xf numFmtId="0" fontId="10" fillId="2" borderId="0" xfId="2" applyFont="1" applyFill="1" applyAlignment="1" applyProtection="1">
      <alignment horizontal="center" vertical="center"/>
      <protection locked="0"/>
    </xf>
    <xf numFmtId="0" fontId="3" fillId="4" borderId="0" xfId="5" applyFont="1" applyFill="1" applyBorder="1" applyAlignment="1">
      <alignment horizontal="center"/>
    </xf>
    <xf numFmtId="0" fontId="0" fillId="4" borderId="0" xfId="0" applyFill="1" applyBorder="1"/>
    <xf numFmtId="0" fontId="10" fillId="2" borderId="0" xfId="2" applyFont="1" applyFill="1" applyAlignment="1" applyProtection="1">
      <alignment horizont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3" fillId="2" borderId="1" xfId="2" applyFont="1" applyFill="1" applyBorder="1" applyAlignment="1" applyProtection="1">
      <alignment horizontal="center" wrapText="1"/>
      <protection locked="0"/>
    </xf>
    <xf numFmtId="0" fontId="8" fillId="2" borderId="1" xfId="9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12" fillId="0" borderId="0" xfId="0" applyFont="1" applyAlignment="1" applyProtection="1">
      <alignment horizontal="center" vertical="center"/>
      <protection locked="0"/>
    </xf>
  </cellXfs>
  <cellStyles count="10">
    <cellStyle name="Comma" xfId="1" builtinId="3"/>
    <cellStyle name="Normal" xfId="0" builtinId="0"/>
    <cellStyle name="Normal_AccountChild07" xfId="8" xr:uid="{00000000-0005-0000-0000-000002000000}"/>
    <cellStyle name="Normal_GeneralMaster_1" xfId="6" xr:uid="{00000000-0005-0000-0000-000003000000}"/>
    <cellStyle name="Normal_Genral Master" xfId="4" xr:uid="{00000000-0005-0000-0000-000004000000}"/>
    <cellStyle name="Normal_MORate_1" xfId="7" xr:uid="{00000000-0005-0000-0000-000005000000}"/>
    <cellStyle name="Normal_Sheet1" xfId="2" xr:uid="{00000000-0005-0000-0000-000006000000}"/>
    <cellStyle name="Normal_Sheet1_1" xfId="9" xr:uid="{00000000-0005-0000-0000-000007000000}"/>
    <cellStyle name="Normal_Sheet3" xfId="3" xr:uid="{00000000-0005-0000-0000-000008000000}"/>
    <cellStyle name="Normal_SizeGroup" xfId="5" xr:uid="{00000000-0005-0000-0000-000009000000}"/>
  </cellStyles>
  <dxfs count="9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19" formatCode="dd/mm/yy"/>
    </dxf>
    <dxf>
      <numFmt numFmtId="19" formatCode="dd/mm/yy"/>
    </dxf>
    <dxf>
      <numFmt numFmtId="19" formatCode="dd/mm/yy"/>
    </dxf>
    <dxf>
      <numFmt numFmtId="19" formatCode="dd/mm/yy"/>
    </dxf>
    <dxf>
      <border outline="0">
        <top style="thin">
          <color indexed="8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right style="thin">
          <color theme="4" tint="0.39997558519241921"/>
        </right>
      </border>
    </dxf>
    <dxf>
      <border outline="0">
        <right style="thin">
          <color theme="4" tint="0.39997558519241921"/>
        </right>
      </border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theme="4" tint="0.39997558519241921"/>
        </right>
      </border>
    </dxf>
    <dxf>
      <border outline="0">
        <right style="thin">
          <color theme="4" tint="0.39997558519241921"/>
        </right>
      </border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  <dxf>
      <fill>
        <gradientFill type="path" left="0.5" right="0.5" top="0.5" bottom="0.5">
          <stop position="0">
            <color rgb="FFFFC000"/>
          </stop>
          <stop position="1">
            <color rgb="FFFFFF00"/>
          </stop>
        </gradientFill>
      </fill>
    </dxf>
    <dxf>
      <fill>
        <gradientFill degree="45">
          <stop position="0">
            <color rgb="FFFFFF00"/>
          </stop>
          <stop position="1">
            <color theme="4"/>
          </stop>
        </gradientFill>
      </fill>
    </dxf>
    <dxf>
      <border outline="0">
        <right style="thin">
          <color theme="4" tint="0.39997558519241921"/>
        </right>
      </border>
    </dxf>
    <dxf>
      <fill>
        <gradientFill type="path" left="0.5" right="0.5" top="0.5" bottom="0.5">
          <stop position="0">
            <color rgb="FFFFC000"/>
          </stop>
          <stop position="1">
            <color rgb="FFFFFF00"/>
          </stop>
        </gradientFill>
      </fill>
    </dxf>
  </dxfs>
  <tableStyles count="0" defaultTableStyle="TableStyleMedium2" defaultPivotStyle="PivotStyleLight16"/>
  <colors>
    <mruColors>
      <color rgb="FFF0DE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19050</xdr:rowOff>
    </xdr:from>
    <xdr:to>
      <xdr:col>7</xdr:col>
      <xdr:colOff>1190625</xdr:colOff>
      <xdr:row>0</xdr:row>
      <xdr:rowOff>428625</xdr:rowOff>
    </xdr:to>
    <xdr:sp macro="[0]!Update_Code_Data_FinishSizeChil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9050" y="19050"/>
          <a:ext cx="314325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Code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28575</xdr:rowOff>
    </xdr:from>
    <xdr:to>
      <xdr:col>3</xdr:col>
      <xdr:colOff>1181100</xdr:colOff>
      <xdr:row>0</xdr:row>
      <xdr:rowOff>438150</xdr:rowOff>
    </xdr:to>
    <xdr:sp macro="[0]!Update_Code_Data_SizeGroupChil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575" y="28575"/>
          <a:ext cx="360045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Code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19659</xdr:colOff>
      <xdr:row>0</xdr:row>
      <xdr:rowOff>0</xdr:rowOff>
    </xdr:from>
    <xdr:to>
      <xdr:col>1</xdr:col>
      <xdr:colOff>2476500</xdr:colOff>
      <xdr:row>0</xdr:row>
      <xdr:rowOff>400050</xdr:rowOff>
    </xdr:to>
    <xdr:sp macro="[0]!Update_Code_Data_AccountMaster" textlink="">
      <xdr:nvSpPr>
        <xdr:cNvPr id="3" name="Rectangle: Rounded Corners 1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95934" y="0"/>
          <a:ext cx="2456841" cy="400050"/>
        </a:xfrm>
        <a:prstGeom prst="round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Code Ref.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</xdr:colOff>
      <xdr:row>0</xdr:row>
      <xdr:rowOff>76200</xdr:rowOff>
    </xdr:from>
    <xdr:to>
      <xdr:col>2</xdr:col>
      <xdr:colOff>2486024</xdr:colOff>
      <xdr:row>0</xdr:row>
      <xdr:rowOff>476250</xdr:rowOff>
    </xdr:to>
    <xdr:sp macro="[0]!Add_Code_G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124199" y="76200"/>
          <a:ext cx="2428875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Add Code</a:t>
          </a:r>
        </a:p>
      </xdr:txBody>
    </xdr:sp>
    <xdr:clientData/>
  </xdr:twoCellAnchor>
  <xdr:twoCellAnchor>
    <xdr:from>
      <xdr:col>1</xdr:col>
      <xdr:colOff>45116</xdr:colOff>
      <xdr:row>0</xdr:row>
      <xdr:rowOff>47624</xdr:rowOff>
    </xdr:from>
    <xdr:to>
      <xdr:col>1</xdr:col>
      <xdr:colOff>2495549</xdr:colOff>
      <xdr:row>0</xdr:row>
      <xdr:rowOff>457199</xdr:rowOff>
    </xdr:to>
    <xdr:sp macro="[0]!Module1.Update_Code_Data_GeneralMaster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8991" y="47624"/>
          <a:ext cx="2450433" cy="40957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Code Ref.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28575</xdr:rowOff>
    </xdr:from>
    <xdr:to>
      <xdr:col>2</xdr:col>
      <xdr:colOff>1685925</xdr:colOff>
      <xdr:row>0</xdr:row>
      <xdr:rowOff>381001</xdr:rowOff>
    </xdr:to>
    <xdr:sp macro="[0]!Update_Code_Data_General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219325" y="28575"/>
          <a:ext cx="1647825" cy="3524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Data Code</a:t>
          </a:r>
        </a:p>
      </xdr:txBody>
    </xdr:sp>
    <xdr:clientData/>
  </xdr:twoCellAnchor>
  <xdr:twoCellAnchor>
    <xdr:from>
      <xdr:col>1</xdr:col>
      <xdr:colOff>16242</xdr:colOff>
      <xdr:row>0</xdr:row>
      <xdr:rowOff>19050</xdr:rowOff>
    </xdr:from>
    <xdr:to>
      <xdr:col>1</xdr:col>
      <xdr:colOff>1695450</xdr:colOff>
      <xdr:row>0</xdr:row>
      <xdr:rowOff>390525</xdr:rowOff>
    </xdr:to>
    <xdr:sp macro="[0]!Add_Code_Add_G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82967" y="19050"/>
          <a:ext cx="1679208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Add Code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</xdr:col>
      <xdr:colOff>0</xdr:colOff>
      <xdr:row>0</xdr:row>
      <xdr:rowOff>419100</xdr:rowOff>
    </xdr:to>
    <xdr:sp macro="[0]!Update_Code_Data_AccountChild05_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9525"/>
          <a:ext cx="30003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Data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0</xdr:row>
      <xdr:rowOff>9525</xdr:rowOff>
    </xdr:from>
    <xdr:to>
      <xdr:col>1</xdr:col>
      <xdr:colOff>1247774</xdr:colOff>
      <xdr:row>0</xdr:row>
      <xdr:rowOff>381000</xdr:rowOff>
    </xdr:to>
    <xdr:sp macro="[0]!Update_Code_Printing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524" y="9525"/>
          <a:ext cx="309562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Data Code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9</xdr:col>
      <xdr:colOff>1066800</xdr:colOff>
      <xdr:row>0</xdr:row>
      <xdr:rowOff>438150</xdr:rowOff>
    </xdr:to>
    <xdr:sp macro="[0]!Update_Code_Data_AccountChild07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28575"/>
          <a:ext cx="84582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Code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0</xdr:row>
      <xdr:rowOff>28575</xdr:rowOff>
    </xdr:from>
    <xdr:to>
      <xdr:col>9</xdr:col>
      <xdr:colOff>1228725</xdr:colOff>
      <xdr:row>0</xdr:row>
      <xdr:rowOff>438150</xdr:rowOff>
    </xdr:to>
    <xdr:sp macro="[0]!Update_Code_MO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590925" y="28575"/>
          <a:ext cx="881062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Data Code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24309</xdr:colOff>
      <xdr:row>0</xdr:row>
      <xdr:rowOff>19050</xdr:rowOff>
    </xdr:from>
    <xdr:to>
      <xdr:col>2</xdr:col>
      <xdr:colOff>1257299</xdr:colOff>
      <xdr:row>0</xdr:row>
      <xdr:rowOff>419100</xdr:rowOff>
    </xdr:to>
    <xdr:sp macro="[0]!Update_Code_Data_AccountChild08_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309" y="19050"/>
          <a:ext cx="6652715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24309</xdr:colOff>
      <xdr:row>0</xdr:row>
      <xdr:rowOff>19050</xdr:rowOff>
    </xdr:from>
    <xdr:to>
      <xdr:col>2</xdr:col>
      <xdr:colOff>1257299</xdr:colOff>
      <xdr:row>0</xdr:row>
      <xdr:rowOff>419100</xdr:rowOff>
    </xdr:to>
    <xdr:sp macro="[0]!Update_Code_BindingRate_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309" y="19050"/>
          <a:ext cx="6652715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Update Data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Default) FinishSizeChild" connectionId="5" xr16:uid="{00000000-0016-0000-0000-000000000000}" autoFormatId="16" applyNumberFormats="0" applyBorderFormats="0" applyFontFormats="0" applyPatternFormats="0" applyAlignmentFormats="0" applyWidthHeightFormats="0">
  <queryTableRefresh nextId="6">
    <queryTableFields count="5">
      <queryTableField id="1" name="Code" tableColumnId="1"/>
      <queryTableField id="2" name="TextSize" tableColumnId="2"/>
      <queryTableField id="3" name="Ups/Form" tableColumnId="3"/>
      <queryTableField id="4" name="Ups/BdgForm" tableColumnId="4"/>
      <queryTableField id="5" name="TitleSiz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Default) SizeGroupChild" connectionId="7" xr16:uid="{00000000-0016-0000-0100-000001000000}" autoFormatId="16" applyNumberFormats="0" applyBorderFormats="0" applyFontFormats="0" applyPatternFormats="0" applyAlignmentFormats="0" applyWidthHeightFormats="0">
  <queryTableRefresh nextId="3">
    <queryTableFields count="2">
      <queryTableField id="1" name="Code" tableColumnId="1"/>
      <queryTableField id="2" name="Siz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Default) AccountMaster_1" connectionId="4" xr16:uid="{00000000-0016-0000-0200-000002000000}" autoFormatId="16" applyNumberFormats="0" applyBorderFormats="0" applyFontFormats="0" applyPatternFormats="0" applyAlignmentFormats="0" applyWidthHeightFormats="0">
  <queryTableRefresh nextId="22" unboundColumnsRight="1">
    <queryTableFields count="21">
      <queryTableField id="1" name="Code" tableColumnId="1"/>
      <queryTableField id="2" name="Name" tableColumnId="2"/>
      <queryTableField id="3" name="PrintName" tableColumnId="3"/>
      <queryTableField id="4" name="Alias" tableColumnId="4"/>
      <queryTableField id="5" name="Group" tableColumnId="5"/>
      <queryTableField id="6" name="Address1" tableColumnId="6"/>
      <queryTableField id="7" name="Address2" tableColumnId="7"/>
      <queryTableField id="8" name="Address3" tableColumnId="8"/>
      <queryTableField id="9" name="Address4" tableColumnId="9"/>
      <queryTableField id="10" name="Phone" tableColumnId="10"/>
      <queryTableField id="11" name="Mobile" tableColumnId="11"/>
      <queryTableField id="12" name="TIN" tableColumnId="12"/>
      <queryTableField id="13" name="eMail" tableColumnId="13"/>
      <queryTableField id="14" name="RoundOffQty" tableColumnId="14"/>
      <queryTableField id="15" name="CreatedBy" tableColumnId="15"/>
      <queryTableField id="16" name="CreatedOn" tableColumnId="16"/>
      <queryTableField id="17" name="ModifiedBy" tableColumnId="17"/>
      <queryTableField id="18" name="ModifiedOn" tableColumnId="18"/>
      <queryTableField id="19" name="Recordstatus" tableColumnId="19"/>
      <queryTableField id="20" name="Printstatus" tableColumnId="20"/>
      <queryTableField id="21" dataBound="0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Default) GeneralMaster" connectionId="6" xr16:uid="{00000000-0016-0000-0300-000003000000}" autoFormatId="16" applyNumberFormats="0" applyBorderFormats="0" applyFontFormats="0" applyPatternFormats="0" applyAlignmentFormats="0" applyWidthHeightFormats="0">
  <queryTableRefresh nextId="12">
    <queryTableFields count="11">
      <queryTableField id="1" name="Code" tableColumnId="1"/>
      <queryTableField id="2" name="Name" tableColumnId="2"/>
      <queryTableField id="3" name="PrintName" tableColumnId="3"/>
      <queryTableField id="4" name="Type" tableColumnId="4"/>
      <queryTableField id="5" name="Value1" tableColumnId="5"/>
      <queryTableField id="6" name="CreatedBy" tableColumnId="6"/>
      <queryTableField id="7" name="CreatedOn" tableColumnId="7"/>
      <queryTableField id="8" name="ModifiedBy" tableColumnId="8"/>
      <queryTableField id="9" name="ModifiedOn" tableColumnId="9"/>
      <queryTableField id="10" name="Recordstatus" tableColumnId="10"/>
      <queryTableField id="11" name="Printstatus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Default) AccountChild05_1" connectionId="1" xr16:uid="{00000000-0016-0000-0500-000004000000}" autoFormatId="16" applyNumberFormats="0" applyBorderFormats="0" applyFontFormats="0" applyPatternFormats="0" applyAlignmentFormats="0" applyWidthHeightFormats="0">
  <queryTableRefresh nextId="35">
    <queryTableFields count="34">
      <queryTableField id="1" name="Code" tableColumnId="1"/>
      <queryTableField id="2" name="Size" tableColumnId="2"/>
      <queryTableField id="3" name="Range1" tableColumnId="3"/>
      <queryTableField id="4" name="Range2" tableColumnId="4"/>
      <queryTableField id="5" name="Range4" tableColumnId="5"/>
      <queryTableField id="6" name="Range6" tableColumnId="6"/>
      <queryTableField id="7" name="PrintRate1" tableColumnId="7"/>
      <queryTableField id="8" name="PrintRate2" tableColumnId="8"/>
      <queryTableField id="9" name="PrintRate4" tableColumnId="9"/>
      <queryTableField id="10" name="PrintRate6" tableColumnId="10"/>
      <queryTableField id="11" name="PSPlateRate1" tableColumnId="11"/>
      <queryTableField id="12" name="PSPlateRate2" tableColumnId="12"/>
      <queryTableField id="13" name="PSPlateRate4" tableColumnId="13"/>
      <queryTableField id="14" name="PSPlateRate6" tableColumnId="14"/>
      <queryTableField id="15" name="DeepatchPlateRate1" tableColumnId="15"/>
      <queryTableField id="16" name="DeepatchPlateRate2" tableColumnId="16"/>
      <queryTableField id="17" name="DeepatchPlateRate4" tableColumnId="17"/>
      <queryTableField id="18" name="DeepatchPlateRate6" tableColumnId="18"/>
      <queryTableField id="19" name="WipeonPlateRate1" tableColumnId="19"/>
      <queryTableField id="20" name="WipeonPlateRate2" tableColumnId="20"/>
      <queryTableField id="21" name="WipeonPlateRate4" tableColumnId="21"/>
      <queryTableField id="22" name="WipeonPlateRate6" tableColumnId="22"/>
      <queryTableField id="23" name="CTPPlateRate1" tableColumnId="23"/>
      <queryTableField id="24" name="CTPPlateRate2" tableColumnId="24"/>
      <queryTableField id="25" name="CTPPlateRate4" tableColumnId="25"/>
      <queryTableField id="26" name="CTPPlateRate6" tableColumnId="26"/>
      <queryTableField id="27" name="PaperWastageRate1" tableColumnId="27"/>
      <queryTableField id="28" name="PaperWastageRate2" tableColumnId="28"/>
      <queryTableField id="29" name="PaperWastageRate4" tableColumnId="29"/>
      <queryTableField id="30" name="PaperWastageRate6" tableColumnId="30"/>
      <queryTableField id="31" name="PaperWastageMin1" tableColumnId="31"/>
      <queryTableField id="32" name="PaperWastageMin2" tableColumnId="32"/>
      <queryTableField id="33" name="PaperWastageMin4" tableColumnId="33"/>
      <queryTableField id="34" name="PaperWastageMin6" tableColumnId="3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Default) AccountChild07" connectionId="2" xr16:uid="{00000000-0016-0000-0700-000005000000}" autoFormatId="16" applyNumberFormats="0" applyBorderFormats="0" applyFontFormats="0" applyPatternFormats="0" applyAlignmentFormats="0" applyWidthHeightFormats="0">
  <queryTableRefresh nextId="7">
    <queryTableFields count="6">
      <queryTableField id="1" name="Code" tableColumnId="1"/>
      <queryTableField id="2" name="Size" tableColumnId="2"/>
      <queryTableField id="3" name="LaminationType" tableColumnId="3"/>
      <queryTableField id="4" name="CalcMode" tableColumnId="4"/>
      <queryTableField id="5" name="Rate" tableColumnId="5"/>
      <queryTableField id="6" name="Range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Default) AccountChild08" connectionId="3" xr16:uid="{00000000-0016-0000-0900-000006000000}" autoFormatId="16" applyNumberFormats="0" applyBorderFormats="0" applyFontFormats="0" applyPatternFormats="0" applyAlignmentFormats="0" applyWidthHeightFormats="0">
  <queryTableRefresh nextId="47">
    <queryTableFields count="46">
      <queryTableField id="1" name="Code" tableColumnId="1"/>
      <queryTableField id="2" name="BindingType" tableColumnId="2"/>
      <queryTableField id="3" name="Size" tableColumnId="3"/>
      <queryTableField id="4" name="Range04" tableColumnId="4"/>
      <queryTableField id="5" name="Range06" tableColumnId="5"/>
      <queryTableField id="6" name="Range08" tableColumnId="6"/>
      <queryTableField id="7" name="Range12" tableColumnId="7"/>
      <queryTableField id="8" name="Range16" tableColumnId="8"/>
      <queryTableField id="9" name="Range24" tableColumnId="9"/>
      <queryTableField id="10" name="Range32" tableColumnId="10"/>
      <queryTableField id="11" name="Range64" tableColumnId="11"/>
      <queryTableField id="12" name="FormStitchRate04" tableColumnId="12"/>
      <queryTableField id="13" name="FormStitchRate06" tableColumnId="13"/>
      <queryTableField id="14" name="FormStitchRate08" tableColumnId="14"/>
      <queryTableField id="15" name="FormStitchRate12" tableColumnId="15"/>
      <queryTableField id="16" name="FormStitchRate16" tableColumnId="16"/>
      <queryTableField id="17" name="FormStitchRate24" tableColumnId="17"/>
      <queryTableField id="18" name="FormStitchRate32" tableColumnId="18"/>
      <queryTableField id="19" name="FormStitchRate64" tableColumnId="19"/>
      <queryTableField id="20" name="FormPasteRate04" tableColumnId="20"/>
      <queryTableField id="21" name="FormPasteRate06" tableColumnId="21"/>
      <queryTableField id="22" name="FormPasteRate08" tableColumnId="22"/>
      <queryTableField id="23" name="FormPasteRate12" tableColumnId="23"/>
      <queryTableField id="24" name="FormPasteRate16" tableColumnId="24"/>
      <queryTableField id="25" name="FormPasteRate24" tableColumnId="25"/>
      <queryTableField id="26" name="FormPasteRate32" tableColumnId="26"/>
      <queryTableField id="27" name="FormPasteRate64" tableColumnId="27"/>
      <queryTableField id="28" name="FormFoldRate04" tableColumnId="28"/>
      <queryTableField id="29" name="FormFoldRate06" tableColumnId="29"/>
      <queryTableField id="30" name="FormFoldRate08" tableColumnId="30"/>
      <queryTableField id="31" name="FormFoldRate12" tableColumnId="31"/>
      <queryTableField id="32" name="FormFoldRate16" tableColumnId="32"/>
      <queryTableField id="33" name="FormFoldRate24" tableColumnId="33"/>
      <queryTableField id="34" name="FormFoldRate32" tableColumnId="34"/>
      <queryTableField id="35" name="FormFoldRate64" tableColumnId="35"/>
      <queryTableField id="36" name="Rate/Book04" tableColumnId="36"/>
      <queryTableField id="37" name="Rate/Book06" tableColumnId="37"/>
      <queryTableField id="38" name="Rate/Book08" tableColumnId="38"/>
      <queryTableField id="39" name="Rate/Book12" tableColumnId="39"/>
      <queryTableField id="40" name="Rate/Book16" tableColumnId="40"/>
      <queryTableField id="41" name="Rate/Book24" tableColumnId="41"/>
      <queryTableField id="42" name="Rate/Book32" tableColumnId="42"/>
      <queryTableField id="43" name="Rate/Book64" tableColumnId="43"/>
      <queryTableField id="44" name="PktPackRate" tableColumnId="44"/>
      <queryTableField id="45" name="BoxPackRate" tableColumnId="45"/>
      <queryTableField id="46" name="Cartage/Box" tableColumnId="4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able_Default__FinishSizeChild" displayName="Table_Default__FinishSizeChild" ref="A2:E60" tableType="queryTable" totalsRowShown="0" tableBorderDxfId="97">
  <autoFilter ref="A2:E60" xr:uid="{00000000-0009-0000-0100-000007000000}"/>
  <tableColumns count="5">
    <tableColumn id="1" xr3:uid="{00000000-0010-0000-0000-000001000000}" uniqueName="1" name="Code" queryTableFieldId="1"/>
    <tableColumn id="2" xr3:uid="{00000000-0010-0000-0000-000002000000}" uniqueName="2" name="TextSize" queryTableFieldId="2"/>
    <tableColumn id="3" xr3:uid="{00000000-0010-0000-0000-000003000000}" uniqueName="3" name="Ups/Form" queryTableFieldId="3"/>
    <tableColumn id="4" xr3:uid="{00000000-0010-0000-0000-000004000000}" uniqueName="4" name="Ups/BdgForm" queryTableFieldId="4"/>
    <tableColumn id="5" xr3:uid="{00000000-0010-0000-0000-000005000000}" uniqueName="5" name="TitleSize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_Default__SizeGroupChild" displayName="Table_Default__SizeGroupChild" ref="A2:B41" tableType="queryTable" totalsRowShown="0" tableBorderDxfId="94">
  <autoFilter ref="A2:B41" xr:uid="{00000000-0009-0000-0100-000005000000}"/>
  <tableColumns count="2">
    <tableColumn id="1" xr3:uid="{00000000-0010-0000-0100-000001000000}" uniqueName="1" name="Code" queryTableFieldId="1"/>
    <tableColumn id="2" xr3:uid="{00000000-0010-0000-0100-000002000000}" uniqueName="2" name="Size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_Default__AccountMaster_1" displayName="Table_Default__AccountMaster_1" ref="A2:U27" tableType="queryTable" totalsRowShown="0" headerRowDxfId="93" tableBorderDxfId="92">
  <autoFilter ref="A2:U27" xr:uid="{00000000-0009-0000-0100-000001000000}"/>
  <tableColumns count="21">
    <tableColumn id="1" xr3:uid="{00000000-0010-0000-0200-000001000000}" uniqueName="1" name="Code" queryTableFieldId="1"/>
    <tableColumn id="2" xr3:uid="{00000000-0010-0000-0200-000002000000}" uniqueName="2" name="Name" queryTableFieldId="2"/>
    <tableColumn id="3" xr3:uid="{00000000-0010-0000-0200-000003000000}" uniqueName="3" name="PrintName" queryTableFieldId="3"/>
    <tableColumn id="4" xr3:uid="{00000000-0010-0000-0200-000004000000}" uniqueName="4" name="Alias" queryTableFieldId="4"/>
    <tableColumn id="5" xr3:uid="{00000000-0010-0000-0200-000005000000}" uniqueName="5" name="Group" queryTableFieldId="5"/>
    <tableColumn id="6" xr3:uid="{00000000-0010-0000-0200-000006000000}" uniqueName="6" name="Address1" queryTableFieldId="6"/>
    <tableColumn id="7" xr3:uid="{00000000-0010-0000-0200-000007000000}" uniqueName="7" name="Address2" queryTableFieldId="7"/>
    <tableColumn id="8" xr3:uid="{00000000-0010-0000-0200-000008000000}" uniqueName="8" name="Address3" queryTableFieldId="8"/>
    <tableColumn id="9" xr3:uid="{00000000-0010-0000-0200-000009000000}" uniqueName="9" name="Address4" queryTableFieldId="9"/>
    <tableColumn id="10" xr3:uid="{00000000-0010-0000-0200-00000A000000}" uniqueName="10" name="Phone" queryTableFieldId="10"/>
    <tableColumn id="11" xr3:uid="{00000000-0010-0000-0200-00000B000000}" uniqueName="11" name="Mobile" queryTableFieldId="11"/>
    <tableColumn id="12" xr3:uid="{00000000-0010-0000-0200-00000C000000}" uniqueName="12" name="TIN" queryTableFieldId="12"/>
    <tableColumn id="13" xr3:uid="{00000000-0010-0000-0200-00000D000000}" uniqueName="13" name="eMail" queryTableFieldId="13"/>
    <tableColumn id="14" xr3:uid="{00000000-0010-0000-0200-00000E000000}" uniqueName="14" name="RoundOffQty" queryTableFieldId="14"/>
    <tableColumn id="15" xr3:uid="{00000000-0010-0000-0200-00000F000000}" uniqueName="15" name="CreatedBy" queryTableFieldId="15"/>
    <tableColumn id="16" xr3:uid="{00000000-0010-0000-0200-000010000000}" uniqueName="16" name="CreatedOn" queryTableFieldId="16" dataDxfId="83"/>
    <tableColumn id="17" xr3:uid="{00000000-0010-0000-0200-000011000000}" uniqueName="17" name="ModifiedBy" queryTableFieldId="17"/>
    <tableColumn id="18" xr3:uid="{00000000-0010-0000-0200-000012000000}" uniqueName="18" name="ModifiedOn" queryTableFieldId="18" dataDxfId="82"/>
    <tableColumn id="19" xr3:uid="{00000000-0010-0000-0200-000013000000}" uniqueName="19" name="Recordstatus" queryTableFieldId="19"/>
    <tableColumn id="20" xr3:uid="{00000000-0010-0000-0200-000014000000}" uniqueName="20" name="Printstatus" queryTableFieldId="20"/>
    <tableColumn id="21" xr3:uid="{00000000-0010-0000-0200-000015000000}" uniqueName="21" name="Code2" queryTableField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_Default__GeneralMaster" displayName="Table_Default__GeneralMaster" ref="A2:K330" tableType="queryTable" totalsRowShown="0" tableBorderDxfId="91">
  <autoFilter ref="A2:K330" xr:uid="{00000000-0009-0000-0100-000002000000}"/>
  <tableColumns count="11">
    <tableColumn id="1" xr3:uid="{00000000-0010-0000-0300-000001000000}" uniqueName="1" name="Code" queryTableFieldId="1"/>
    <tableColumn id="2" xr3:uid="{00000000-0010-0000-0300-000002000000}" uniqueName="2" name="Name" queryTableFieldId="2"/>
    <tableColumn id="3" xr3:uid="{00000000-0010-0000-0300-000003000000}" uniqueName="3" name="PrintName" queryTableFieldId="3"/>
    <tableColumn id="4" xr3:uid="{00000000-0010-0000-0300-000004000000}" uniqueName="4" name="Type" queryTableFieldId="4"/>
    <tableColumn id="5" xr3:uid="{00000000-0010-0000-0300-000005000000}" uniqueName="5" name="Value1" queryTableFieldId="5"/>
    <tableColumn id="6" xr3:uid="{00000000-0010-0000-0300-000006000000}" uniqueName="6" name="CreatedBy" queryTableFieldId="6"/>
    <tableColumn id="7" xr3:uid="{00000000-0010-0000-0300-000007000000}" uniqueName="7" name="CreatedOn" queryTableFieldId="7" dataDxfId="81"/>
    <tableColumn id="8" xr3:uid="{00000000-0010-0000-0300-000008000000}" uniqueName="8" name="ModifiedBy" queryTableFieldId="8"/>
    <tableColumn id="9" xr3:uid="{00000000-0010-0000-0300-000009000000}" uniqueName="9" name="ModifiedOn" queryTableFieldId="9" dataDxfId="80"/>
    <tableColumn id="10" xr3:uid="{00000000-0010-0000-0300-00000A000000}" uniqueName="10" name="Recordstatus" queryTableFieldId="10"/>
    <tableColumn id="11" xr3:uid="{00000000-0010-0000-0300-00000B000000}" uniqueName="11" name="Printstatus" queryTableField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_Default__AccountChild05_1" displayName="Table_Default__AccountChild05_1" ref="C2:AJ59" tableType="queryTable" totalsRowShown="0" headerRowDxfId="90" dataDxfId="89" tableBorderDxfId="88" headerRowCellStyle="Normal_Sheet1">
  <autoFilter ref="C2:AJ59" xr:uid="{00000000-0009-0000-0100-000003000000}"/>
  <tableColumns count="34">
    <tableColumn id="1" xr3:uid="{00000000-0010-0000-0400-000001000000}" uniqueName="1" name="Code" queryTableFieldId="1" dataDxfId="79"/>
    <tableColumn id="2" xr3:uid="{00000000-0010-0000-0400-000002000000}" uniqueName="2" name="Size" queryTableFieldId="2" dataDxfId="78"/>
    <tableColumn id="3" xr3:uid="{00000000-0010-0000-0400-000003000000}" uniqueName="3" name="Range1" queryTableFieldId="3" dataDxfId="77"/>
    <tableColumn id="4" xr3:uid="{00000000-0010-0000-0400-000004000000}" uniqueName="4" name="Range2" queryTableFieldId="4" dataDxfId="76"/>
    <tableColumn id="5" xr3:uid="{00000000-0010-0000-0400-000005000000}" uniqueName="5" name="Range4" queryTableFieldId="5" dataDxfId="75"/>
    <tableColumn id="6" xr3:uid="{00000000-0010-0000-0400-000006000000}" uniqueName="6" name="Range6" queryTableFieldId="6" dataDxfId="74"/>
    <tableColumn id="7" xr3:uid="{00000000-0010-0000-0400-000007000000}" uniqueName="7" name="PrintRate1" queryTableFieldId="7" dataDxfId="73"/>
    <tableColumn id="8" xr3:uid="{00000000-0010-0000-0400-000008000000}" uniqueName="8" name="PrintRate2" queryTableFieldId="8" dataDxfId="72"/>
    <tableColumn id="9" xr3:uid="{00000000-0010-0000-0400-000009000000}" uniqueName="9" name="PrintRate4" queryTableFieldId="9" dataDxfId="71"/>
    <tableColumn id="10" xr3:uid="{00000000-0010-0000-0400-00000A000000}" uniqueName="10" name="PrintRate6" queryTableFieldId="10" dataDxfId="70"/>
    <tableColumn id="11" xr3:uid="{00000000-0010-0000-0400-00000B000000}" uniqueName="11" name="PSPlateRate1" queryTableFieldId="11" dataDxfId="69"/>
    <tableColumn id="12" xr3:uid="{00000000-0010-0000-0400-00000C000000}" uniqueName="12" name="PSPlateRate2" queryTableFieldId="12" dataDxfId="68"/>
    <tableColumn id="13" xr3:uid="{00000000-0010-0000-0400-00000D000000}" uniqueName="13" name="PSPlateRate4" queryTableFieldId="13" dataDxfId="67"/>
    <tableColumn id="14" xr3:uid="{00000000-0010-0000-0400-00000E000000}" uniqueName="14" name="PSPlateRate6" queryTableFieldId="14" dataDxfId="66"/>
    <tableColumn id="15" xr3:uid="{00000000-0010-0000-0400-00000F000000}" uniqueName="15" name="DeepatchPlateRate1" queryTableFieldId="15" dataDxfId="65"/>
    <tableColumn id="16" xr3:uid="{00000000-0010-0000-0400-000010000000}" uniqueName="16" name="DeepatchPlateRate2" queryTableFieldId="16" dataDxfId="64"/>
    <tableColumn id="17" xr3:uid="{00000000-0010-0000-0400-000011000000}" uniqueName="17" name="DeepatchPlateRate4" queryTableFieldId="17" dataDxfId="63"/>
    <tableColumn id="18" xr3:uid="{00000000-0010-0000-0400-000012000000}" uniqueName="18" name="DeepatchPlateRate6" queryTableFieldId="18" dataDxfId="62"/>
    <tableColumn id="19" xr3:uid="{00000000-0010-0000-0400-000013000000}" uniqueName="19" name="WipeonPlateRate1" queryTableFieldId="19" dataDxfId="61"/>
    <tableColumn id="20" xr3:uid="{00000000-0010-0000-0400-000014000000}" uniqueName="20" name="WipeonPlateRate2" queryTableFieldId="20" dataDxfId="60"/>
    <tableColumn id="21" xr3:uid="{00000000-0010-0000-0400-000015000000}" uniqueName="21" name="WipeonPlateRate4" queryTableFieldId="21" dataDxfId="59"/>
    <tableColumn id="22" xr3:uid="{00000000-0010-0000-0400-000016000000}" uniqueName="22" name="WipeonPlateRate6" queryTableFieldId="22" dataDxfId="58"/>
    <tableColumn id="23" xr3:uid="{00000000-0010-0000-0400-000017000000}" uniqueName="23" name="CTPPlateRate1" queryTableFieldId="23" dataDxfId="57"/>
    <tableColumn id="24" xr3:uid="{00000000-0010-0000-0400-000018000000}" uniqueName="24" name="CTPPlateRate2" queryTableFieldId="24" dataDxfId="56"/>
    <tableColumn id="25" xr3:uid="{00000000-0010-0000-0400-000019000000}" uniqueName="25" name="CTPPlateRate4" queryTableFieldId="25" dataDxfId="55"/>
    <tableColumn id="26" xr3:uid="{00000000-0010-0000-0400-00001A000000}" uniqueName="26" name="CTPPlateRate6" queryTableFieldId="26" dataDxfId="54"/>
    <tableColumn id="27" xr3:uid="{00000000-0010-0000-0400-00001B000000}" uniqueName="27" name="PaperWastageRate1" queryTableFieldId="27" dataDxfId="53"/>
    <tableColumn id="28" xr3:uid="{00000000-0010-0000-0400-00001C000000}" uniqueName="28" name="PaperWastageRate2" queryTableFieldId="28" dataDxfId="52"/>
    <tableColumn id="29" xr3:uid="{00000000-0010-0000-0400-00001D000000}" uniqueName="29" name="PaperWastageRate4" queryTableFieldId="29" dataDxfId="51"/>
    <tableColumn id="30" xr3:uid="{00000000-0010-0000-0400-00001E000000}" uniqueName="30" name="PaperWastageRate6" queryTableFieldId="30" dataDxfId="50"/>
    <tableColumn id="31" xr3:uid="{00000000-0010-0000-0400-00001F000000}" uniqueName="31" name="PaperWastageMin1" queryTableFieldId="31" dataDxfId="49"/>
    <tableColumn id="32" xr3:uid="{00000000-0010-0000-0400-000020000000}" uniqueName="32" name="PaperWastageMin2" queryTableFieldId="32" dataDxfId="48"/>
    <tableColumn id="33" xr3:uid="{00000000-0010-0000-0400-000021000000}" uniqueName="33" name="PaperWastageMin4" queryTableFieldId="33" dataDxfId="47"/>
    <tableColumn id="34" xr3:uid="{00000000-0010-0000-0400-000022000000}" uniqueName="34" name="PaperWastageMin6" queryTableFieldId="34" dataDxfId="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_Default__AccountChild07" displayName="Table_Default__AccountChild07" ref="A2:F45" tableType="queryTable" totalsRowShown="0" tableBorderDxfId="87">
  <autoFilter ref="A2:F45" xr:uid="{00000000-0009-0000-0100-000004000000}"/>
  <tableColumns count="6">
    <tableColumn id="1" xr3:uid="{00000000-0010-0000-0500-000001000000}" uniqueName="1" name="Code" queryTableFieldId="1"/>
    <tableColumn id="2" xr3:uid="{00000000-0010-0000-0500-000002000000}" uniqueName="2" name="Size" queryTableFieldId="2"/>
    <tableColumn id="3" xr3:uid="{00000000-0010-0000-0500-000003000000}" uniqueName="3" name="LaminationType" queryTableFieldId="3"/>
    <tableColumn id="4" xr3:uid="{00000000-0010-0000-0500-000004000000}" uniqueName="4" name="CalcMode" queryTableFieldId="4"/>
    <tableColumn id="5" xr3:uid="{00000000-0010-0000-0500-000005000000}" uniqueName="5" name="Rate" queryTableFieldId="5"/>
    <tableColumn id="6" xr3:uid="{00000000-0010-0000-0500-000006000000}" uniqueName="6" name="Range" queryTableField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e_Default__AccountChild08" displayName="Table_Default__AccountChild08" ref="D2:AW44" tableType="queryTable" totalsRowShown="0" headerRowDxfId="86" dataDxfId="85" tableBorderDxfId="84" headerRowCellStyle="Normal_Sheet1">
  <tableColumns count="46">
    <tableColumn id="1" xr3:uid="{00000000-0010-0000-0600-000001000000}" uniqueName="1" name="Code" queryTableFieldId="1" dataDxfId="45"/>
    <tableColumn id="2" xr3:uid="{00000000-0010-0000-0600-000002000000}" uniqueName="2" name="BindingType" queryTableFieldId="2" dataDxfId="44"/>
    <tableColumn id="3" xr3:uid="{00000000-0010-0000-0600-000003000000}" uniqueName="3" name="Size" queryTableFieldId="3" dataDxfId="43"/>
    <tableColumn id="4" xr3:uid="{00000000-0010-0000-0600-000004000000}" uniqueName="4" name="Range04" queryTableFieldId="4" dataDxfId="42"/>
    <tableColumn id="5" xr3:uid="{00000000-0010-0000-0600-000005000000}" uniqueName="5" name="Range06" queryTableFieldId="5" dataDxfId="41"/>
    <tableColumn id="6" xr3:uid="{00000000-0010-0000-0600-000006000000}" uniqueName="6" name="Range08" queryTableFieldId="6" dataDxfId="40"/>
    <tableColumn id="7" xr3:uid="{00000000-0010-0000-0600-000007000000}" uniqueName="7" name="Range12" queryTableFieldId="7" dataDxfId="39"/>
    <tableColumn id="8" xr3:uid="{00000000-0010-0000-0600-000008000000}" uniqueName="8" name="Range16" queryTableFieldId="8" dataDxfId="38"/>
    <tableColumn id="9" xr3:uid="{00000000-0010-0000-0600-000009000000}" uniqueName="9" name="Range24" queryTableFieldId="9" dataDxfId="37"/>
    <tableColumn id="10" xr3:uid="{00000000-0010-0000-0600-00000A000000}" uniqueName="10" name="Range32" queryTableFieldId="10" dataDxfId="36"/>
    <tableColumn id="11" xr3:uid="{00000000-0010-0000-0600-00000B000000}" uniqueName="11" name="Range64" queryTableFieldId="11" dataDxfId="35"/>
    <tableColumn id="12" xr3:uid="{00000000-0010-0000-0600-00000C000000}" uniqueName="12" name="FormStitchRate04" queryTableFieldId="12" dataDxfId="34"/>
    <tableColumn id="13" xr3:uid="{00000000-0010-0000-0600-00000D000000}" uniqueName="13" name="FormStitchRate06" queryTableFieldId="13" dataDxfId="33"/>
    <tableColumn id="14" xr3:uid="{00000000-0010-0000-0600-00000E000000}" uniqueName="14" name="FormStitchRate08" queryTableFieldId="14" dataDxfId="32"/>
    <tableColumn id="15" xr3:uid="{00000000-0010-0000-0600-00000F000000}" uniqueName="15" name="FormStitchRate12" queryTableFieldId="15" dataDxfId="31"/>
    <tableColumn id="16" xr3:uid="{00000000-0010-0000-0600-000010000000}" uniqueName="16" name="FormStitchRate16" queryTableFieldId="16" dataDxfId="30"/>
    <tableColumn id="17" xr3:uid="{00000000-0010-0000-0600-000011000000}" uniqueName="17" name="FormStitchRate24" queryTableFieldId="17" dataDxfId="29"/>
    <tableColumn id="18" xr3:uid="{00000000-0010-0000-0600-000012000000}" uniqueName="18" name="FormStitchRate32" queryTableFieldId="18" dataDxfId="28"/>
    <tableColumn id="19" xr3:uid="{00000000-0010-0000-0600-000013000000}" uniqueName="19" name="FormStitchRate64" queryTableFieldId="19" dataDxfId="27"/>
    <tableColumn id="20" xr3:uid="{00000000-0010-0000-0600-000014000000}" uniqueName="20" name="FormPasteRate04" queryTableFieldId="20" dataDxfId="26"/>
    <tableColumn id="21" xr3:uid="{00000000-0010-0000-0600-000015000000}" uniqueName="21" name="FormPasteRate06" queryTableFieldId="21" dataDxfId="25"/>
    <tableColumn id="22" xr3:uid="{00000000-0010-0000-0600-000016000000}" uniqueName="22" name="FormPasteRate08" queryTableFieldId="22" dataDxfId="24"/>
    <tableColumn id="23" xr3:uid="{00000000-0010-0000-0600-000017000000}" uniqueName="23" name="FormPasteRate12" queryTableFieldId="23" dataDxfId="23"/>
    <tableColumn id="24" xr3:uid="{00000000-0010-0000-0600-000018000000}" uniqueName="24" name="FormPasteRate16" queryTableFieldId="24" dataDxfId="22"/>
    <tableColumn id="25" xr3:uid="{00000000-0010-0000-0600-000019000000}" uniqueName="25" name="FormPasteRate24" queryTableFieldId="25" dataDxfId="21"/>
    <tableColumn id="26" xr3:uid="{00000000-0010-0000-0600-00001A000000}" uniqueName="26" name="FormPasteRate32" queryTableFieldId="26" dataDxfId="20"/>
    <tableColumn id="27" xr3:uid="{00000000-0010-0000-0600-00001B000000}" uniqueName="27" name="FormPasteRate64" queryTableFieldId="27" dataDxfId="19"/>
    <tableColumn id="28" xr3:uid="{00000000-0010-0000-0600-00001C000000}" uniqueName="28" name="FormFoldRate04" queryTableFieldId="28" dataDxfId="18"/>
    <tableColumn id="29" xr3:uid="{00000000-0010-0000-0600-00001D000000}" uniqueName="29" name="FormFoldRate06" queryTableFieldId="29" dataDxfId="17"/>
    <tableColumn id="30" xr3:uid="{00000000-0010-0000-0600-00001E000000}" uniqueName="30" name="FormFoldRate08" queryTableFieldId="30" dataDxfId="16"/>
    <tableColumn id="31" xr3:uid="{00000000-0010-0000-0600-00001F000000}" uniqueName="31" name="FormFoldRate12" queryTableFieldId="31" dataDxfId="15"/>
    <tableColumn id="32" xr3:uid="{00000000-0010-0000-0600-000020000000}" uniqueName="32" name="FormFoldRate16" queryTableFieldId="32" dataDxfId="14"/>
    <tableColumn id="33" xr3:uid="{00000000-0010-0000-0600-000021000000}" uniqueName="33" name="FormFoldRate24" queryTableFieldId="33" dataDxfId="13"/>
    <tableColumn id="34" xr3:uid="{00000000-0010-0000-0600-000022000000}" uniqueName="34" name="FormFoldRate32" queryTableFieldId="34" dataDxfId="12"/>
    <tableColumn id="35" xr3:uid="{00000000-0010-0000-0600-000023000000}" uniqueName="35" name="FormFoldRate64" queryTableFieldId="35" dataDxfId="11"/>
    <tableColumn id="36" xr3:uid="{00000000-0010-0000-0600-000024000000}" uniqueName="36" name="Rate/Book04" queryTableFieldId="36" dataDxfId="10"/>
    <tableColumn id="37" xr3:uid="{00000000-0010-0000-0600-000025000000}" uniqueName="37" name="Rate/Book06" queryTableFieldId="37" dataDxfId="9"/>
    <tableColumn id="38" xr3:uid="{00000000-0010-0000-0600-000026000000}" uniqueName="38" name="Rate/Book08" queryTableFieldId="38" dataDxfId="8"/>
    <tableColumn id="39" xr3:uid="{00000000-0010-0000-0600-000027000000}" uniqueName="39" name="Rate/Book12" queryTableFieldId="39" dataDxfId="7"/>
    <tableColumn id="40" xr3:uid="{00000000-0010-0000-0600-000028000000}" uniqueName="40" name="Rate/Book16" queryTableFieldId="40" dataDxfId="6"/>
    <tableColumn id="41" xr3:uid="{00000000-0010-0000-0600-000029000000}" uniqueName="41" name="Rate/Book24" queryTableFieldId="41" dataDxfId="5"/>
    <tableColumn id="42" xr3:uid="{00000000-0010-0000-0600-00002A000000}" uniqueName="42" name="Rate/Book32" queryTableFieldId="42" dataDxfId="4"/>
    <tableColumn id="43" xr3:uid="{00000000-0010-0000-0600-00002B000000}" uniqueName="43" name="Rate/Book64" queryTableFieldId="43" dataDxfId="3"/>
    <tableColumn id="44" xr3:uid="{00000000-0010-0000-0600-00002C000000}" uniqueName="44" name="PktPackRate" queryTableFieldId="44" dataDxfId="2"/>
    <tableColumn id="45" xr3:uid="{00000000-0010-0000-0600-00002D000000}" uniqueName="45" name="BoxPackRate" queryTableFieldId="45" dataDxfId="1"/>
    <tableColumn id="46" xr3:uid="{00000000-0010-0000-0600-00002E000000}" uniqueName="46" name="Cartage/Box" queryTableFieldId="4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H62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D13" sqref="D13"/>
    </sheetView>
  </sheetViews>
  <sheetFormatPr defaultRowHeight="15"/>
  <cols>
    <col min="1" max="1" width="7.85546875" customWidth="1"/>
    <col min="2" max="2" width="10.7109375" customWidth="1"/>
    <col min="3" max="3" width="12.140625" customWidth="1"/>
    <col min="4" max="4" width="15.5703125" customWidth="1"/>
    <col min="5" max="5" width="10.85546875" customWidth="1"/>
    <col min="6" max="6" width="11.28515625" style="7" bestFit="1" customWidth="1"/>
    <col min="7" max="7" width="18.28515625" style="25" bestFit="1" customWidth="1"/>
    <col min="8" max="8" width="18.28515625" style="7" bestFit="1" customWidth="1"/>
  </cols>
  <sheetData>
    <row r="1" spans="1:8" ht="36" customHeight="1"/>
    <row r="2" spans="1:8">
      <c r="A2" t="s">
        <v>0</v>
      </c>
      <c r="B2" t="s">
        <v>879</v>
      </c>
      <c r="C2" t="s">
        <v>880</v>
      </c>
      <c r="D2" t="s">
        <v>881</v>
      </c>
      <c r="E2" t="s">
        <v>882</v>
      </c>
      <c r="F2" s="24" t="s">
        <v>821</v>
      </c>
      <c r="G2" s="24" t="s">
        <v>883</v>
      </c>
      <c r="H2" s="24" t="s">
        <v>884</v>
      </c>
    </row>
    <row r="3" spans="1:8">
      <c r="A3" t="s">
        <v>322</v>
      </c>
      <c r="B3" t="s">
        <v>261</v>
      </c>
      <c r="C3">
        <v>16</v>
      </c>
      <c r="D3">
        <v>16</v>
      </c>
      <c r="E3" t="s">
        <v>240</v>
      </c>
      <c r="F3" s="25" t="s">
        <v>323</v>
      </c>
      <c r="G3" s="25" t="s">
        <v>262</v>
      </c>
      <c r="H3" s="7" t="s">
        <v>241</v>
      </c>
    </row>
    <row r="4" spans="1:8">
      <c r="A4" t="s">
        <v>324</v>
      </c>
      <c r="B4" t="s">
        <v>251</v>
      </c>
      <c r="C4">
        <v>16</v>
      </c>
      <c r="D4">
        <v>16</v>
      </c>
      <c r="E4" t="s">
        <v>253</v>
      </c>
      <c r="F4" s="25" t="s">
        <v>325</v>
      </c>
      <c r="G4" s="25" t="s">
        <v>252</v>
      </c>
      <c r="H4" s="7" t="s">
        <v>254</v>
      </c>
    </row>
    <row r="5" spans="1:8">
      <c r="A5" t="s">
        <v>324</v>
      </c>
      <c r="B5" t="s">
        <v>283</v>
      </c>
      <c r="C5">
        <v>32</v>
      </c>
      <c r="D5">
        <v>16</v>
      </c>
      <c r="E5" t="s">
        <v>253</v>
      </c>
      <c r="F5" s="25" t="s">
        <v>325</v>
      </c>
      <c r="G5" s="25" t="s">
        <v>284</v>
      </c>
      <c r="H5" s="7" t="s">
        <v>254</v>
      </c>
    </row>
    <row r="6" spans="1:8">
      <c r="A6" t="s">
        <v>326</v>
      </c>
      <c r="B6" t="s">
        <v>261</v>
      </c>
      <c r="C6">
        <v>16</v>
      </c>
      <c r="D6">
        <v>16</v>
      </c>
      <c r="E6" t="s">
        <v>240</v>
      </c>
      <c r="F6" s="25" t="s">
        <v>327</v>
      </c>
      <c r="G6" s="25" t="s">
        <v>262</v>
      </c>
      <c r="H6" s="7" t="s">
        <v>241</v>
      </c>
    </row>
    <row r="7" spans="1:8">
      <c r="A7" t="s">
        <v>328</v>
      </c>
      <c r="B7" t="s">
        <v>261</v>
      </c>
      <c r="C7">
        <v>16</v>
      </c>
      <c r="D7">
        <v>16</v>
      </c>
      <c r="E7" t="s">
        <v>240</v>
      </c>
      <c r="F7" s="25" t="s">
        <v>329</v>
      </c>
      <c r="G7" s="25" t="s">
        <v>262</v>
      </c>
      <c r="H7" s="7" t="s">
        <v>241</v>
      </c>
    </row>
    <row r="8" spans="1:8">
      <c r="A8" t="s">
        <v>330</v>
      </c>
      <c r="B8" t="s">
        <v>273</v>
      </c>
      <c r="C8">
        <v>16</v>
      </c>
      <c r="D8">
        <v>16</v>
      </c>
      <c r="E8" t="s">
        <v>249</v>
      </c>
      <c r="F8" s="25" t="s">
        <v>333</v>
      </c>
      <c r="G8" s="25" t="s">
        <v>266</v>
      </c>
      <c r="H8" s="7" t="s">
        <v>241</v>
      </c>
    </row>
    <row r="9" spans="1:8">
      <c r="A9" t="s">
        <v>332</v>
      </c>
      <c r="B9" t="s">
        <v>265</v>
      </c>
      <c r="C9">
        <v>16</v>
      </c>
      <c r="D9">
        <v>16</v>
      </c>
      <c r="E9" t="s">
        <v>240</v>
      </c>
      <c r="F9" s="25" t="s">
        <v>335</v>
      </c>
      <c r="G9" s="25" t="s">
        <v>270</v>
      </c>
      <c r="H9" s="7" t="s">
        <v>250</v>
      </c>
    </row>
    <row r="10" spans="1:8">
      <c r="A10" t="s">
        <v>334</v>
      </c>
      <c r="B10" t="s">
        <v>269</v>
      </c>
      <c r="C10">
        <v>16</v>
      </c>
      <c r="D10">
        <v>16</v>
      </c>
      <c r="E10" t="s">
        <v>249</v>
      </c>
      <c r="F10" s="25" t="s">
        <v>337</v>
      </c>
      <c r="G10" s="25" t="s">
        <v>278</v>
      </c>
      <c r="H10" s="7" t="s">
        <v>250</v>
      </c>
    </row>
    <row r="11" spans="1:8">
      <c r="A11" t="s">
        <v>336</v>
      </c>
      <c r="B11" t="s">
        <v>277</v>
      </c>
      <c r="C11">
        <v>16</v>
      </c>
      <c r="D11">
        <v>16</v>
      </c>
      <c r="E11" t="s">
        <v>249</v>
      </c>
      <c r="F11" s="25" t="s">
        <v>339</v>
      </c>
      <c r="G11" s="25" t="s">
        <v>276</v>
      </c>
      <c r="H11" s="7" t="s">
        <v>250</v>
      </c>
    </row>
    <row r="12" spans="1:8">
      <c r="A12" t="s">
        <v>338</v>
      </c>
      <c r="B12" t="s">
        <v>275</v>
      </c>
      <c r="C12">
        <v>16</v>
      </c>
      <c r="D12">
        <v>16</v>
      </c>
      <c r="E12" t="s">
        <v>249</v>
      </c>
      <c r="F12" s="25" t="s">
        <v>343</v>
      </c>
      <c r="G12" s="25" t="s">
        <v>286</v>
      </c>
      <c r="H12" s="7" t="s">
        <v>254</v>
      </c>
    </row>
    <row r="13" spans="1:8">
      <c r="A13" t="s">
        <v>340</v>
      </c>
      <c r="B13" t="s">
        <v>249</v>
      </c>
      <c r="C13">
        <v>8</v>
      </c>
      <c r="D13">
        <v>16</v>
      </c>
      <c r="E13" t="s">
        <v>249</v>
      </c>
      <c r="F13" s="25" t="s">
        <v>345</v>
      </c>
      <c r="G13" s="25" t="s">
        <v>286</v>
      </c>
      <c r="H13" s="7" t="s">
        <v>254</v>
      </c>
    </row>
    <row r="14" spans="1:8">
      <c r="A14" t="s">
        <v>340</v>
      </c>
      <c r="B14" t="s">
        <v>279</v>
      </c>
      <c r="C14">
        <v>16</v>
      </c>
      <c r="D14">
        <v>16</v>
      </c>
      <c r="E14" t="s">
        <v>249</v>
      </c>
      <c r="F14" s="25" t="s">
        <v>347</v>
      </c>
      <c r="G14" s="25" t="s">
        <v>254</v>
      </c>
      <c r="H14" s="7" t="s">
        <v>254</v>
      </c>
    </row>
    <row r="15" spans="1:8">
      <c r="A15" t="s">
        <v>342</v>
      </c>
      <c r="B15" t="s">
        <v>285</v>
      </c>
      <c r="C15">
        <v>16</v>
      </c>
      <c r="D15">
        <v>16</v>
      </c>
      <c r="E15" t="s">
        <v>253</v>
      </c>
      <c r="F15" s="25" t="s">
        <v>347</v>
      </c>
      <c r="G15" s="25" t="s">
        <v>286</v>
      </c>
      <c r="H15" s="7" t="s">
        <v>254</v>
      </c>
    </row>
    <row r="16" spans="1:8">
      <c r="A16" t="s">
        <v>344</v>
      </c>
      <c r="B16" t="s">
        <v>285</v>
      </c>
      <c r="C16">
        <v>16</v>
      </c>
      <c r="D16">
        <v>16</v>
      </c>
      <c r="E16" t="s">
        <v>253</v>
      </c>
      <c r="F16" s="25" t="s">
        <v>349</v>
      </c>
      <c r="G16" s="25" t="s">
        <v>256</v>
      </c>
      <c r="H16" s="7" t="s">
        <v>256</v>
      </c>
    </row>
    <row r="17" spans="1:8">
      <c r="A17" t="s">
        <v>346</v>
      </c>
      <c r="B17" t="s">
        <v>253</v>
      </c>
      <c r="C17">
        <v>8</v>
      </c>
      <c r="D17">
        <v>16</v>
      </c>
      <c r="E17" t="s">
        <v>253</v>
      </c>
      <c r="F17" s="25" t="s">
        <v>349</v>
      </c>
      <c r="G17" s="25" t="s">
        <v>288</v>
      </c>
      <c r="H17" s="7" t="s">
        <v>256</v>
      </c>
    </row>
    <row r="18" spans="1:8">
      <c r="A18" t="s">
        <v>346</v>
      </c>
      <c r="B18" t="s">
        <v>285</v>
      </c>
      <c r="C18">
        <v>16</v>
      </c>
      <c r="D18">
        <v>16</v>
      </c>
      <c r="E18" t="s">
        <v>253</v>
      </c>
      <c r="F18" s="25" t="s">
        <v>351</v>
      </c>
      <c r="G18" s="25" t="s">
        <v>290</v>
      </c>
      <c r="H18" s="7" t="s">
        <v>241</v>
      </c>
    </row>
    <row r="19" spans="1:8">
      <c r="A19" t="s">
        <v>348</v>
      </c>
      <c r="B19" t="s">
        <v>255</v>
      </c>
      <c r="C19">
        <v>8</v>
      </c>
      <c r="D19">
        <v>16</v>
      </c>
      <c r="E19" t="s">
        <v>255</v>
      </c>
      <c r="F19" s="25" t="s">
        <v>355</v>
      </c>
      <c r="G19" s="25" t="s">
        <v>272</v>
      </c>
      <c r="H19" s="7" t="s">
        <v>241</v>
      </c>
    </row>
    <row r="20" spans="1:8">
      <c r="A20" t="s">
        <v>348</v>
      </c>
      <c r="B20" t="s">
        <v>287</v>
      </c>
      <c r="C20">
        <v>16</v>
      </c>
      <c r="D20">
        <v>16</v>
      </c>
      <c r="E20" t="s">
        <v>255</v>
      </c>
      <c r="F20" s="25" t="s">
        <v>357</v>
      </c>
      <c r="G20" s="25" t="s">
        <v>292</v>
      </c>
      <c r="H20" s="7" t="s">
        <v>241</v>
      </c>
    </row>
    <row r="21" spans="1:8">
      <c r="A21" t="s">
        <v>350</v>
      </c>
      <c r="B21" t="s">
        <v>289</v>
      </c>
      <c r="C21">
        <v>16</v>
      </c>
      <c r="D21">
        <v>16</v>
      </c>
      <c r="E21" t="s">
        <v>240</v>
      </c>
      <c r="F21" s="25" t="s">
        <v>359</v>
      </c>
      <c r="G21" s="25" t="s">
        <v>260</v>
      </c>
      <c r="H21" s="7" t="s">
        <v>241</v>
      </c>
    </row>
    <row r="22" spans="1:8">
      <c r="A22" t="s">
        <v>352</v>
      </c>
      <c r="B22" t="s">
        <v>257</v>
      </c>
      <c r="C22">
        <v>8</v>
      </c>
      <c r="D22">
        <v>16</v>
      </c>
      <c r="E22" t="s">
        <v>240</v>
      </c>
      <c r="F22" s="25" t="s">
        <v>359</v>
      </c>
      <c r="G22" s="25" t="s">
        <v>292</v>
      </c>
      <c r="H22" s="7" t="s">
        <v>241</v>
      </c>
    </row>
    <row r="23" spans="1:8">
      <c r="A23" t="s">
        <v>352</v>
      </c>
      <c r="B23" t="s">
        <v>289</v>
      </c>
      <c r="C23">
        <v>16</v>
      </c>
      <c r="D23">
        <v>16</v>
      </c>
      <c r="E23" t="s">
        <v>240</v>
      </c>
      <c r="F23" s="25" t="s">
        <v>361</v>
      </c>
      <c r="G23" s="25" t="s">
        <v>274</v>
      </c>
      <c r="H23" s="7" t="s">
        <v>250</v>
      </c>
    </row>
    <row r="24" spans="1:8">
      <c r="A24" t="s">
        <v>354</v>
      </c>
      <c r="B24" t="s">
        <v>271</v>
      </c>
      <c r="C24">
        <v>8</v>
      </c>
      <c r="D24">
        <v>16</v>
      </c>
      <c r="E24" t="s">
        <v>240</v>
      </c>
      <c r="F24" s="25" t="s">
        <v>363</v>
      </c>
      <c r="G24" s="25" t="s">
        <v>262</v>
      </c>
      <c r="H24" s="7" t="s">
        <v>241</v>
      </c>
    </row>
    <row r="25" spans="1:8">
      <c r="A25" t="s">
        <v>356</v>
      </c>
      <c r="B25" t="s">
        <v>291</v>
      </c>
      <c r="C25">
        <v>16</v>
      </c>
      <c r="D25">
        <v>16</v>
      </c>
      <c r="E25" t="s">
        <v>240</v>
      </c>
      <c r="F25" s="25" t="s">
        <v>365</v>
      </c>
      <c r="G25" s="25" t="s">
        <v>264</v>
      </c>
      <c r="H25" s="7" t="s">
        <v>241</v>
      </c>
    </row>
    <row r="26" spans="1:8">
      <c r="A26" t="s">
        <v>358</v>
      </c>
      <c r="B26" t="s">
        <v>259</v>
      </c>
      <c r="C26">
        <v>8</v>
      </c>
      <c r="D26">
        <v>16</v>
      </c>
      <c r="E26" t="s">
        <v>240</v>
      </c>
      <c r="F26" s="25" t="s">
        <v>369</v>
      </c>
      <c r="G26" s="25" t="s">
        <v>266</v>
      </c>
      <c r="H26" s="7" t="s">
        <v>241</v>
      </c>
    </row>
    <row r="27" spans="1:8">
      <c r="A27" t="s">
        <v>358</v>
      </c>
      <c r="B27" t="s">
        <v>291</v>
      </c>
      <c r="C27">
        <v>16</v>
      </c>
      <c r="D27">
        <v>16</v>
      </c>
      <c r="E27" t="s">
        <v>240</v>
      </c>
      <c r="F27" s="25" t="s">
        <v>371</v>
      </c>
      <c r="G27" s="25" t="s">
        <v>282</v>
      </c>
      <c r="H27" s="7" t="s">
        <v>254</v>
      </c>
    </row>
    <row r="28" spans="1:8">
      <c r="A28" t="s">
        <v>360</v>
      </c>
      <c r="B28" t="s">
        <v>273</v>
      </c>
      <c r="C28">
        <v>12</v>
      </c>
      <c r="D28">
        <v>24</v>
      </c>
      <c r="E28" t="s">
        <v>249</v>
      </c>
      <c r="F28" s="25" t="s">
        <v>373</v>
      </c>
      <c r="G28" s="25" t="s">
        <v>266</v>
      </c>
      <c r="H28" s="7" t="s">
        <v>241</v>
      </c>
    </row>
    <row r="29" spans="1:8">
      <c r="A29" t="s">
        <v>362</v>
      </c>
      <c r="B29" t="s">
        <v>261</v>
      </c>
      <c r="C29">
        <v>8</v>
      </c>
      <c r="D29">
        <v>16</v>
      </c>
      <c r="E29" t="s">
        <v>240</v>
      </c>
      <c r="F29" s="25" t="s">
        <v>375</v>
      </c>
      <c r="G29" s="25" t="s">
        <v>266</v>
      </c>
      <c r="H29" s="7" t="s">
        <v>241</v>
      </c>
    </row>
    <row r="30" spans="1:8">
      <c r="A30" t="s">
        <v>364</v>
      </c>
      <c r="B30" t="s">
        <v>263</v>
      </c>
      <c r="C30">
        <v>8</v>
      </c>
      <c r="D30">
        <v>16</v>
      </c>
      <c r="E30" t="s">
        <v>240</v>
      </c>
      <c r="F30" s="25" t="s">
        <v>377</v>
      </c>
      <c r="G30" s="25" t="s">
        <v>274</v>
      </c>
      <c r="H30" s="7" t="s">
        <v>250</v>
      </c>
    </row>
    <row r="31" spans="1:8">
      <c r="A31" t="s">
        <v>366</v>
      </c>
      <c r="B31" t="s">
        <v>261</v>
      </c>
      <c r="C31">
        <v>8</v>
      </c>
      <c r="D31">
        <v>16</v>
      </c>
      <c r="E31" t="s">
        <v>240</v>
      </c>
      <c r="F31" s="25" t="s">
        <v>379</v>
      </c>
      <c r="G31" s="25" t="s">
        <v>286</v>
      </c>
      <c r="H31" s="7" t="s">
        <v>254</v>
      </c>
    </row>
    <row r="32" spans="1:8">
      <c r="A32" t="s">
        <v>368</v>
      </c>
      <c r="B32" t="s">
        <v>265</v>
      </c>
      <c r="C32">
        <v>8</v>
      </c>
      <c r="D32">
        <v>16</v>
      </c>
      <c r="E32" t="s">
        <v>240</v>
      </c>
      <c r="F32" s="25" t="s">
        <v>381</v>
      </c>
      <c r="G32" s="25" t="s">
        <v>268</v>
      </c>
      <c r="H32" s="7" t="s">
        <v>250</v>
      </c>
    </row>
    <row r="33" spans="1:8">
      <c r="A33" t="s">
        <v>370</v>
      </c>
      <c r="B33" t="s">
        <v>281</v>
      </c>
      <c r="C33">
        <v>12</v>
      </c>
      <c r="D33">
        <v>24</v>
      </c>
      <c r="E33" t="s">
        <v>253</v>
      </c>
      <c r="F33" s="25" t="s">
        <v>383</v>
      </c>
      <c r="G33" s="25" t="s">
        <v>278</v>
      </c>
      <c r="H33" s="7" t="s">
        <v>250</v>
      </c>
    </row>
    <row r="34" spans="1:8">
      <c r="A34" t="s">
        <v>372</v>
      </c>
      <c r="B34" t="s">
        <v>265</v>
      </c>
      <c r="C34">
        <v>8</v>
      </c>
      <c r="D34">
        <v>16</v>
      </c>
      <c r="E34" t="s">
        <v>240</v>
      </c>
      <c r="F34" s="25" t="s">
        <v>385</v>
      </c>
      <c r="G34" s="25" t="s">
        <v>248</v>
      </c>
      <c r="H34" s="7" t="s">
        <v>254</v>
      </c>
    </row>
    <row r="35" spans="1:8">
      <c r="A35" t="s">
        <v>374</v>
      </c>
      <c r="B35" t="s">
        <v>265</v>
      </c>
      <c r="C35">
        <v>8</v>
      </c>
      <c r="D35">
        <v>16</v>
      </c>
      <c r="E35" t="s">
        <v>240</v>
      </c>
      <c r="F35" s="25" t="s">
        <v>387</v>
      </c>
      <c r="G35" s="25" t="s">
        <v>290</v>
      </c>
      <c r="H35" s="7" t="s">
        <v>241</v>
      </c>
    </row>
    <row r="36" spans="1:8">
      <c r="A36" t="s">
        <v>376</v>
      </c>
      <c r="B36" t="s">
        <v>273</v>
      </c>
      <c r="C36">
        <v>8</v>
      </c>
      <c r="D36">
        <v>16</v>
      </c>
      <c r="E36" t="s">
        <v>249</v>
      </c>
      <c r="F36" s="25" t="s">
        <v>393</v>
      </c>
      <c r="G36" s="25" t="s">
        <v>280</v>
      </c>
      <c r="H36" s="7" t="s">
        <v>250</v>
      </c>
    </row>
    <row r="37" spans="1:8">
      <c r="A37" t="s">
        <v>378</v>
      </c>
      <c r="B37" t="s">
        <v>285</v>
      </c>
      <c r="C37">
        <v>12</v>
      </c>
      <c r="D37">
        <v>24</v>
      </c>
      <c r="E37" t="s">
        <v>253</v>
      </c>
      <c r="F37" s="25" t="s">
        <v>395</v>
      </c>
      <c r="G37" s="25" t="s">
        <v>262</v>
      </c>
      <c r="H37" s="7" t="s">
        <v>241</v>
      </c>
    </row>
    <row r="38" spans="1:8">
      <c r="A38" t="s">
        <v>380</v>
      </c>
      <c r="B38" t="s">
        <v>267</v>
      </c>
      <c r="C38">
        <v>8</v>
      </c>
      <c r="D38">
        <v>16</v>
      </c>
      <c r="E38" t="s">
        <v>249</v>
      </c>
      <c r="F38" s="25" t="s">
        <v>399</v>
      </c>
      <c r="G38" s="25" t="s">
        <v>294</v>
      </c>
      <c r="H38" s="7" t="s">
        <v>241</v>
      </c>
    </row>
    <row r="39" spans="1:8">
      <c r="A39" t="s">
        <v>382</v>
      </c>
      <c r="B39" t="s">
        <v>277</v>
      </c>
      <c r="C39">
        <v>8</v>
      </c>
      <c r="D39">
        <v>16</v>
      </c>
      <c r="E39" t="s">
        <v>249</v>
      </c>
      <c r="F39" s="25" t="s">
        <v>401</v>
      </c>
      <c r="G39" s="25" t="s">
        <v>288</v>
      </c>
      <c r="H39" s="7" t="s">
        <v>254</v>
      </c>
    </row>
    <row r="40" spans="1:8">
      <c r="A40" t="s">
        <v>384</v>
      </c>
      <c r="B40" t="s">
        <v>247</v>
      </c>
      <c r="C40">
        <v>4</v>
      </c>
      <c r="D40">
        <v>8</v>
      </c>
      <c r="E40" t="s">
        <v>253</v>
      </c>
      <c r="F40" s="25" t="s">
        <v>403</v>
      </c>
      <c r="G40" s="25" t="s">
        <v>274</v>
      </c>
      <c r="H40" s="7" t="s">
        <v>250</v>
      </c>
    </row>
    <row r="41" spans="1:8">
      <c r="A41" t="s">
        <v>386</v>
      </c>
      <c r="B41" t="s">
        <v>289</v>
      </c>
      <c r="C41">
        <v>12</v>
      </c>
      <c r="D41">
        <v>24</v>
      </c>
      <c r="E41" t="s">
        <v>240</v>
      </c>
      <c r="F41" s="25" t="s">
        <v>405</v>
      </c>
      <c r="G41" s="25" t="s">
        <v>292</v>
      </c>
      <c r="H41" s="7" t="s">
        <v>241</v>
      </c>
    </row>
    <row r="42" spans="1:8">
      <c r="A42" t="s">
        <v>388</v>
      </c>
      <c r="B42" t="s">
        <v>279</v>
      </c>
      <c r="C42">
        <v>8</v>
      </c>
      <c r="D42">
        <v>16</v>
      </c>
      <c r="E42" t="s">
        <v>249</v>
      </c>
      <c r="F42" s="25" t="s">
        <v>407</v>
      </c>
      <c r="G42" s="25" t="s">
        <v>280</v>
      </c>
      <c r="H42" s="7" t="s">
        <v>250</v>
      </c>
    </row>
    <row r="43" spans="1:8">
      <c r="A43" t="s">
        <v>392</v>
      </c>
      <c r="B43" t="s">
        <v>279</v>
      </c>
      <c r="C43">
        <v>8</v>
      </c>
      <c r="D43">
        <v>16</v>
      </c>
      <c r="E43" t="s">
        <v>249</v>
      </c>
      <c r="F43" s="25" t="s">
        <v>409</v>
      </c>
      <c r="G43" s="25" t="s">
        <v>288</v>
      </c>
      <c r="H43" s="7" t="s">
        <v>254</v>
      </c>
    </row>
    <row r="44" spans="1:8">
      <c r="A44" t="s">
        <v>394</v>
      </c>
      <c r="B44" t="s">
        <v>261</v>
      </c>
      <c r="C44">
        <v>6</v>
      </c>
      <c r="D44">
        <v>12</v>
      </c>
      <c r="E44" t="s">
        <v>240</v>
      </c>
      <c r="F44" s="25" t="s">
        <v>411</v>
      </c>
      <c r="G44" s="25" t="s">
        <v>290</v>
      </c>
      <c r="H44" s="7" t="s">
        <v>241</v>
      </c>
    </row>
    <row r="45" spans="1:8">
      <c r="A45" t="s">
        <v>398</v>
      </c>
      <c r="B45" t="s">
        <v>293</v>
      </c>
      <c r="C45">
        <v>16</v>
      </c>
      <c r="D45">
        <v>16</v>
      </c>
      <c r="E45" t="s">
        <v>240</v>
      </c>
      <c r="F45" s="25" t="s">
        <v>413</v>
      </c>
      <c r="G45" s="25" t="s">
        <v>294</v>
      </c>
      <c r="H45" s="7" t="s">
        <v>241</v>
      </c>
    </row>
    <row r="46" spans="1:8">
      <c r="A46" t="s">
        <v>400</v>
      </c>
      <c r="B46" t="s">
        <v>287</v>
      </c>
      <c r="C46">
        <v>8</v>
      </c>
      <c r="D46">
        <v>16</v>
      </c>
      <c r="E46" t="s">
        <v>253</v>
      </c>
      <c r="F46" s="25" t="s">
        <v>413</v>
      </c>
      <c r="G46" s="25" t="s">
        <v>262</v>
      </c>
      <c r="H46" s="7" t="s">
        <v>527</v>
      </c>
    </row>
    <row r="47" spans="1:8">
      <c r="A47" t="s">
        <v>402</v>
      </c>
      <c r="B47" t="s">
        <v>273</v>
      </c>
      <c r="C47">
        <v>6</v>
      </c>
      <c r="D47">
        <v>12</v>
      </c>
      <c r="E47" t="s">
        <v>249</v>
      </c>
      <c r="F47" s="25" t="s">
        <v>413</v>
      </c>
      <c r="G47" s="25" t="s">
        <v>527</v>
      </c>
      <c r="H47" s="7" t="s">
        <v>527</v>
      </c>
    </row>
    <row r="48" spans="1:8">
      <c r="A48" t="s">
        <v>404</v>
      </c>
      <c r="B48" t="s">
        <v>291</v>
      </c>
      <c r="C48">
        <v>6</v>
      </c>
      <c r="D48">
        <v>12</v>
      </c>
      <c r="E48" t="s">
        <v>240</v>
      </c>
      <c r="F48" s="25" t="s">
        <v>532</v>
      </c>
      <c r="G48" s="25" t="s">
        <v>274</v>
      </c>
      <c r="H48" s="7" t="s">
        <v>250</v>
      </c>
    </row>
    <row r="49" spans="1:8">
      <c r="A49" t="s">
        <v>406</v>
      </c>
      <c r="B49" t="s">
        <v>279</v>
      </c>
      <c r="C49">
        <v>4</v>
      </c>
      <c r="D49">
        <v>8</v>
      </c>
      <c r="E49" t="s">
        <v>249</v>
      </c>
      <c r="F49" s="25" t="s">
        <v>397</v>
      </c>
      <c r="G49" s="25" t="s">
        <v>250</v>
      </c>
      <c r="H49" s="7" t="s">
        <v>537</v>
      </c>
    </row>
    <row r="50" spans="1:8">
      <c r="A50" t="s">
        <v>408</v>
      </c>
      <c r="B50" t="s">
        <v>287</v>
      </c>
      <c r="C50">
        <v>4</v>
      </c>
      <c r="D50">
        <v>8</v>
      </c>
      <c r="E50" t="s">
        <v>253</v>
      </c>
      <c r="F50" s="25" t="s">
        <v>397</v>
      </c>
      <c r="G50" s="25" t="s">
        <v>560</v>
      </c>
      <c r="H50" s="7" t="s">
        <v>537</v>
      </c>
    </row>
    <row r="51" spans="1:8">
      <c r="A51" t="s">
        <v>410</v>
      </c>
      <c r="B51" t="s">
        <v>289</v>
      </c>
      <c r="C51">
        <v>6</v>
      </c>
      <c r="D51">
        <v>12</v>
      </c>
      <c r="E51" t="s">
        <v>240</v>
      </c>
      <c r="F51" s="7" t="s">
        <v>562</v>
      </c>
      <c r="G51" s="25" t="s">
        <v>278</v>
      </c>
      <c r="H51" s="7" t="s">
        <v>537</v>
      </c>
    </row>
    <row r="52" spans="1:8">
      <c r="A52" t="s">
        <v>412</v>
      </c>
      <c r="B52" t="s">
        <v>293</v>
      </c>
      <c r="C52">
        <v>4</v>
      </c>
      <c r="D52">
        <v>8</v>
      </c>
      <c r="E52" t="s">
        <v>240</v>
      </c>
      <c r="F52" s="7" t="s">
        <v>391</v>
      </c>
      <c r="G52" s="25" t="s">
        <v>282</v>
      </c>
      <c r="H52" s="7" t="s">
        <v>254</v>
      </c>
    </row>
    <row r="53" spans="1:8">
      <c r="A53" t="s">
        <v>412</v>
      </c>
      <c r="B53" t="s">
        <v>261</v>
      </c>
      <c r="C53">
        <v>2</v>
      </c>
      <c r="D53">
        <v>2</v>
      </c>
      <c r="E53" t="s">
        <v>526</v>
      </c>
      <c r="F53" s="7" t="s">
        <v>331</v>
      </c>
      <c r="G53" s="25" t="s">
        <v>274</v>
      </c>
      <c r="H53" s="7" t="s">
        <v>250</v>
      </c>
    </row>
    <row r="54" spans="1:8">
      <c r="A54" t="s">
        <v>412</v>
      </c>
      <c r="B54" t="s">
        <v>526</v>
      </c>
      <c r="C54">
        <v>1</v>
      </c>
      <c r="D54">
        <v>1</v>
      </c>
      <c r="E54" t="s">
        <v>526</v>
      </c>
      <c r="F54" s="7" t="s">
        <v>894</v>
      </c>
      <c r="G54" s="25" t="s">
        <v>262</v>
      </c>
      <c r="H54" s="7" t="s">
        <v>527</v>
      </c>
    </row>
    <row r="55" spans="1:8">
      <c r="A55" t="s">
        <v>531</v>
      </c>
      <c r="B55" t="s">
        <v>273</v>
      </c>
      <c r="C55">
        <v>8</v>
      </c>
      <c r="D55">
        <v>16</v>
      </c>
      <c r="E55" t="s">
        <v>249</v>
      </c>
      <c r="F55" s="7" t="s">
        <v>895</v>
      </c>
      <c r="G55" s="25" t="s">
        <v>808</v>
      </c>
      <c r="H55" s="7" t="s">
        <v>865</v>
      </c>
    </row>
    <row r="56" spans="1:8">
      <c r="A56" t="s">
        <v>396</v>
      </c>
      <c r="B56" t="s">
        <v>249</v>
      </c>
      <c r="C56">
        <v>4</v>
      </c>
      <c r="D56">
        <v>8</v>
      </c>
      <c r="E56" t="s">
        <v>536</v>
      </c>
      <c r="F56" s="7" t="s">
        <v>341</v>
      </c>
      <c r="G56" s="25" t="s">
        <v>250</v>
      </c>
      <c r="H56" s="7" t="s">
        <v>250</v>
      </c>
    </row>
    <row r="57" spans="1:8">
      <c r="A57" t="s">
        <v>396</v>
      </c>
      <c r="B57" t="s">
        <v>559</v>
      </c>
      <c r="C57">
        <v>8</v>
      </c>
      <c r="D57">
        <v>16</v>
      </c>
      <c r="E57" t="s">
        <v>536</v>
      </c>
      <c r="F57" s="7" t="s">
        <v>341</v>
      </c>
      <c r="G57" s="25" t="s">
        <v>280</v>
      </c>
      <c r="H57" s="7" t="s">
        <v>250</v>
      </c>
    </row>
    <row r="58" spans="1:8">
      <c r="A58" t="s">
        <v>561</v>
      </c>
      <c r="B58" t="s">
        <v>277</v>
      </c>
      <c r="C58">
        <v>8</v>
      </c>
      <c r="D58">
        <v>16</v>
      </c>
      <c r="E58" t="s">
        <v>536</v>
      </c>
      <c r="F58" s="7" t="s">
        <v>353</v>
      </c>
      <c r="G58" s="25" t="s">
        <v>258</v>
      </c>
      <c r="H58" s="7" t="s">
        <v>241</v>
      </c>
    </row>
    <row r="59" spans="1:8">
      <c r="A59" t="s">
        <v>390</v>
      </c>
      <c r="B59" t="s">
        <v>281</v>
      </c>
      <c r="C59">
        <v>8</v>
      </c>
      <c r="D59">
        <v>16</v>
      </c>
      <c r="E59" t="s">
        <v>253</v>
      </c>
      <c r="F59" s="7" t="s">
        <v>353</v>
      </c>
      <c r="G59" s="25" t="s">
        <v>290</v>
      </c>
      <c r="H59" s="7" t="s">
        <v>241</v>
      </c>
    </row>
    <row r="60" spans="1:8">
      <c r="A60" t="s">
        <v>771</v>
      </c>
      <c r="B60" t="s">
        <v>279</v>
      </c>
      <c r="C60">
        <v>12</v>
      </c>
      <c r="D60">
        <v>24</v>
      </c>
      <c r="E60" t="s">
        <v>536</v>
      </c>
      <c r="F60" s="7" t="s">
        <v>367</v>
      </c>
      <c r="G60" s="25" t="s">
        <v>262</v>
      </c>
      <c r="H60" s="7" t="s">
        <v>527</v>
      </c>
    </row>
    <row r="61" spans="1:8">
      <c r="F61" s="7" t="s">
        <v>367</v>
      </c>
      <c r="G61" s="25" t="s">
        <v>294</v>
      </c>
      <c r="H61" s="7" t="s">
        <v>527</v>
      </c>
    </row>
    <row r="62" spans="1:8">
      <c r="F62" s="7" t="s">
        <v>389</v>
      </c>
      <c r="G62" s="25" t="s">
        <v>280</v>
      </c>
      <c r="H62" s="7" t="s">
        <v>250</v>
      </c>
    </row>
  </sheetData>
  <phoneticPr fontId="5" type="noConversion"/>
  <conditionalFormatting sqref="F1:F1048576">
    <cfRule type="duplicateValues" dxfId="98" priority="1"/>
  </conditionalFormatting>
  <pageMargins left="0.7" right="0.7" top="0.75" bottom="0.75" header="0.3" footer="0.3"/>
  <pageSetup paperSize="9" orientation="portrait" horizontalDpi="4294967292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XEV594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/>
  <cols>
    <col min="1" max="1" width="7.85546875" customWidth="1"/>
    <col min="2" max="2" width="7" customWidth="1"/>
    <col min="3" max="3" width="21.85546875" bestFit="1" customWidth="1"/>
    <col min="4" max="4" width="18.28515625" style="23" bestFit="1" customWidth="1"/>
    <col min="5" max="5" width="7.85546875" bestFit="1" customWidth="1"/>
    <col min="6" max="6" width="7" bestFit="1" customWidth="1"/>
    <col min="16374" max="16374" width="31.5703125" bestFit="1" customWidth="1"/>
    <col min="16378" max="16378" width="31.5703125" bestFit="1" customWidth="1"/>
  </cols>
  <sheetData>
    <row r="1" spans="1:4 16372:16376" ht="36.75" customHeight="1"/>
    <row r="2" spans="1:4 16372:16376">
      <c r="A2" t="s">
        <v>0</v>
      </c>
      <c r="B2" t="s">
        <v>1</v>
      </c>
      <c r="C2" s="24" t="s">
        <v>128</v>
      </c>
      <c r="D2" s="24" t="s">
        <v>1</v>
      </c>
      <c r="XER2" s="7">
        <v>10</v>
      </c>
      <c r="XEV2">
        <v>10</v>
      </c>
    </row>
    <row r="3" spans="1:4 16372:16376">
      <c r="A3" t="s">
        <v>40</v>
      </c>
      <c r="B3" t="s">
        <v>285</v>
      </c>
      <c r="C3" s="23" t="s">
        <v>300</v>
      </c>
      <c r="D3" s="23" t="s">
        <v>286</v>
      </c>
      <c r="XER3" t="e">
        <f>INDEX(GeneralMaster!#REF!,0,2)</f>
        <v>#REF!</v>
      </c>
      <c r="XEV3" t="e">
        <f>INDEX(GeneralMaster!#REF!,0,2)</f>
        <v>#REF!</v>
      </c>
    </row>
    <row r="4" spans="1:4 16372:16376">
      <c r="A4" t="s">
        <v>40</v>
      </c>
      <c r="B4" t="s">
        <v>287</v>
      </c>
      <c r="C4" s="23" t="s">
        <v>300</v>
      </c>
      <c r="D4" s="23" t="s">
        <v>288</v>
      </c>
      <c r="XER4" t="e">
        <f>INDEX(GeneralMaster!#REF!,0,2)</f>
        <v>#REF!</v>
      </c>
      <c r="XEV4" t="e">
        <f>INDEX(GeneralMaster!#REF!,0,2)</f>
        <v>#REF!</v>
      </c>
    </row>
    <row r="5" spans="1:4 16372:16376">
      <c r="A5" t="s">
        <v>40</v>
      </c>
      <c r="B5" t="s">
        <v>289</v>
      </c>
      <c r="C5" s="23" t="s">
        <v>300</v>
      </c>
      <c r="D5" s="23" t="s">
        <v>290</v>
      </c>
      <c r="XER5" t="e">
        <f>INDEX(XER4,GeneralMaster!#REF!,4,2)</f>
        <v>#REF!</v>
      </c>
      <c r="XEV5" t="e">
        <f>INDEX(GeneralMaster!#REF!,0,2)</f>
        <v>#REF!</v>
      </c>
    </row>
    <row r="6" spans="1:4 16372:16376">
      <c r="A6" t="s">
        <v>40</v>
      </c>
      <c r="B6" t="s">
        <v>291</v>
      </c>
      <c r="C6" s="23" t="s">
        <v>300</v>
      </c>
      <c r="D6" s="23" t="s">
        <v>292</v>
      </c>
      <c r="XER6" t="e">
        <f>INDEX(GeneralMaster!#REF!,0,2)</f>
        <v>#REF!</v>
      </c>
      <c r="XEV6" t="e">
        <f>INDEX(GeneralMaster!#REF!,0,2)</f>
        <v>#REF!</v>
      </c>
    </row>
    <row r="7" spans="1:4 16372:16376">
      <c r="A7" t="s">
        <v>40</v>
      </c>
      <c r="B7" t="s">
        <v>293</v>
      </c>
      <c r="C7" s="23" t="s">
        <v>300</v>
      </c>
      <c r="D7" s="23" t="s">
        <v>294</v>
      </c>
      <c r="XER7" t="e">
        <f>INDEX(GeneralMaster!#REF!,0,2)</f>
        <v>#REF!</v>
      </c>
      <c r="XEV7" t="e">
        <f>INDEX(GeneralMaster!#REF!,0,2)</f>
        <v>#REF!</v>
      </c>
    </row>
    <row r="8" spans="1:4 16372:16376">
      <c r="A8" t="s">
        <v>43</v>
      </c>
      <c r="B8" t="s">
        <v>273</v>
      </c>
      <c r="C8" s="23" t="s">
        <v>533</v>
      </c>
      <c r="D8" s="23" t="s">
        <v>274</v>
      </c>
      <c r="XER8" t="e">
        <f>INDEX(GeneralMaster!#REF!,0,2)</f>
        <v>#REF!</v>
      </c>
      <c r="XEV8" t="e">
        <f>INDEX(GeneralMaster!#REF!,0,2)</f>
        <v>#REF!</v>
      </c>
    </row>
    <row r="9" spans="1:4 16372:16376">
      <c r="A9" t="s">
        <v>36</v>
      </c>
      <c r="B9" t="s">
        <v>534</v>
      </c>
      <c r="C9" s="23" t="s">
        <v>312</v>
      </c>
      <c r="D9" s="23" t="s">
        <v>547</v>
      </c>
      <c r="XER9" t="e">
        <f>INDEX(GeneralMaster!#REF!,0,2)</f>
        <v>#REF!</v>
      </c>
      <c r="XEV9" t="e">
        <f>INDEX(GeneralMaster!#REF!,0,2)</f>
        <v>#REF!</v>
      </c>
    </row>
    <row r="10" spans="1:4 16372:16376">
      <c r="A10" t="s">
        <v>41</v>
      </c>
      <c r="B10" t="s">
        <v>546</v>
      </c>
      <c r="C10" s="23" t="s">
        <v>314</v>
      </c>
      <c r="D10" s="23" t="s">
        <v>527</v>
      </c>
      <c r="XER10" t="e">
        <f>INDEX(GeneralMaster!#REF!,0,2)</f>
        <v>#REF!</v>
      </c>
      <c r="XEV10" t="e">
        <f>INDEX(GeneralMaster!#REF!,0,2)</f>
        <v>#REF!</v>
      </c>
    </row>
    <row r="11" spans="1:4 16372:16376">
      <c r="A11" t="s">
        <v>35</v>
      </c>
      <c r="B11" t="s">
        <v>267</v>
      </c>
      <c r="C11" s="23" t="s">
        <v>314</v>
      </c>
      <c r="D11" s="23" t="s">
        <v>537</v>
      </c>
      <c r="XER11" t="e">
        <f>INDEX(GeneralMaster!#REF!,0,2)</f>
        <v>#REF!</v>
      </c>
      <c r="XEV11" t="e">
        <f>INDEX(GeneralMaster!#REF!,0,2)</f>
        <v>#REF!</v>
      </c>
    </row>
    <row r="12" spans="1:4 16372:16376">
      <c r="A12" t="s">
        <v>35</v>
      </c>
      <c r="B12" t="s">
        <v>269</v>
      </c>
      <c r="C12" s="23" t="s">
        <v>314</v>
      </c>
      <c r="D12" s="23" t="s">
        <v>564</v>
      </c>
      <c r="XER12" t="e">
        <f>INDEX(GeneralMaster!#REF!,0,2)</f>
        <v>#REF!</v>
      </c>
      <c r="XEV12" t="e">
        <f>INDEX(GeneralMaster!#REF!,0,2)</f>
        <v>#REF!</v>
      </c>
    </row>
    <row r="13" spans="1:4 16372:16376">
      <c r="A13" t="s">
        <v>35</v>
      </c>
      <c r="B13" t="s">
        <v>275</v>
      </c>
      <c r="C13" s="23" t="s">
        <v>306</v>
      </c>
      <c r="D13" s="23" t="s">
        <v>535</v>
      </c>
      <c r="XER13" t="e">
        <f>INDEX(GeneralMaster!#REF!,0,2)</f>
        <v>#REF!</v>
      </c>
      <c r="XEV13" t="e">
        <f>INDEX(GeneralMaster!#REF!,0,2)</f>
        <v>#REF!</v>
      </c>
    </row>
    <row r="14" spans="1:4 16372:16376">
      <c r="A14" t="s">
        <v>35</v>
      </c>
      <c r="B14" t="s">
        <v>277</v>
      </c>
      <c r="C14" s="23" t="s">
        <v>308</v>
      </c>
      <c r="D14" s="23" t="s">
        <v>800</v>
      </c>
      <c r="XER14" t="e">
        <f>INDEX(GeneralMaster!#REF!,0,2)</f>
        <v>#REF!</v>
      </c>
      <c r="XEV14" t="e">
        <f>INDEX(GeneralMaster!#REF!,0,2)</f>
        <v>#REF!</v>
      </c>
    </row>
    <row r="15" spans="1:4 16372:16376">
      <c r="A15" t="s">
        <v>35</v>
      </c>
      <c r="B15" t="s">
        <v>279</v>
      </c>
      <c r="C15" s="23" t="s">
        <v>309</v>
      </c>
      <c r="D15" s="23" t="s">
        <v>549</v>
      </c>
      <c r="XER15" t="e">
        <f>INDEX(GeneralMaster!#REF!,0,2)</f>
        <v>#REF!</v>
      </c>
      <c r="XEV15" t="e">
        <f>INDEX(GeneralMaster!#REF!,0,2)</f>
        <v>#REF!</v>
      </c>
    </row>
    <row r="16" spans="1:4 16372:16376">
      <c r="A16" t="s">
        <v>35</v>
      </c>
      <c r="B16" t="s">
        <v>281</v>
      </c>
      <c r="C16" s="23" t="s">
        <v>309</v>
      </c>
      <c r="D16" s="23" t="s">
        <v>258</v>
      </c>
      <c r="XER16" t="e">
        <f>INDEX(GeneralMaster!#REF!,0,2)</f>
        <v>#REF!</v>
      </c>
      <c r="XEV16" t="e">
        <f>INDEX(GeneralMaster!#REF!,0,2)</f>
        <v>#REF!</v>
      </c>
    </row>
    <row r="17" spans="1:4 16372:16376">
      <c r="A17" t="s">
        <v>35</v>
      </c>
      <c r="B17" t="s">
        <v>283</v>
      </c>
      <c r="C17" s="23" t="s">
        <v>309</v>
      </c>
      <c r="D17" s="23" t="s">
        <v>260</v>
      </c>
      <c r="XER17" t="e">
        <f>INDEX(GeneralMaster!#REF!,0,2)</f>
        <v>#REF!</v>
      </c>
      <c r="XEV17" t="e">
        <f>INDEX(GeneralMaster!#REF!,0,2)</f>
        <v>#REF!</v>
      </c>
    </row>
    <row r="18" spans="1:4 16372:16376">
      <c r="A18" t="s">
        <v>35</v>
      </c>
      <c r="B18" t="s">
        <v>559</v>
      </c>
      <c r="C18" s="23" t="s">
        <v>309</v>
      </c>
      <c r="D18" s="23" t="s">
        <v>262</v>
      </c>
      <c r="XER18" t="e">
        <f>INDEX(GeneralMaster!#REF!,0,2)</f>
        <v>#REF!</v>
      </c>
      <c r="XEV18" t="e">
        <f>INDEX(GeneralMaster!#REF!,0,2)</f>
        <v>#REF!</v>
      </c>
    </row>
    <row r="19" spans="1:4 16372:16376">
      <c r="A19" t="s">
        <v>46</v>
      </c>
      <c r="B19" t="s">
        <v>240</v>
      </c>
      <c r="C19" s="23" t="s">
        <v>309</v>
      </c>
      <c r="D19" s="23" t="s">
        <v>264</v>
      </c>
      <c r="XER19" t="e">
        <f>INDEX(GeneralMaster!#REF!,0,2)</f>
        <v>#REF!</v>
      </c>
      <c r="XEV19" t="e">
        <f>INDEX(GeneralMaster!#REF!,0,2)</f>
        <v>#REF!</v>
      </c>
    </row>
    <row r="20" spans="1:4 16372:16376">
      <c r="A20" t="s">
        <v>46</v>
      </c>
      <c r="B20" t="s">
        <v>243</v>
      </c>
      <c r="C20" s="23" t="s">
        <v>309</v>
      </c>
      <c r="D20" s="23" t="s">
        <v>266</v>
      </c>
      <c r="XER20" t="e">
        <f>INDEX(GeneralMaster!#REF!,0,2)</f>
        <v>#REF!</v>
      </c>
      <c r="XEV20" t="e">
        <f>INDEX(GeneralMaster!#REF!,0,2)</f>
        <v>#REF!</v>
      </c>
    </row>
    <row r="21" spans="1:4 16372:16376">
      <c r="A21" t="s">
        <v>46</v>
      </c>
      <c r="B21" t="s">
        <v>245</v>
      </c>
      <c r="C21" s="23" t="s">
        <v>309</v>
      </c>
      <c r="D21" s="23" t="s">
        <v>272</v>
      </c>
      <c r="XER21" t="e">
        <f>INDEX(GeneralMaster!#REF!,0,2)</f>
        <v>#REF!</v>
      </c>
      <c r="XEV21" t="e">
        <f>INDEX(GeneralMaster!#REF!,0,2)</f>
        <v>#REF!</v>
      </c>
    </row>
    <row r="22" spans="1:4 16372:16376">
      <c r="A22" t="s">
        <v>46</v>
      </c>
      <c r="B22" t="s">
        <v>247</v>
      </c>
      <c r="C22" s="23" t="s">
        <v>309</v>
      </c>
      <c r="D22" s="23" t="s">
        <v>803</v>
      </c>
      <c r="XER22" t="e">
        <f>INDEX(GeneralMaster!#REF!,0,2)</f>
        <v>#REF!</v>
      </c>
      <c r="XEV22" t="e">
        <f>INDEX(GeneralMaster!#REF!,0,2)</f>
        <v>#REF!</v>
      </c>
    </row>
    <row r="23" spans="1:4 16372:16376">
      <c r="A23" t="s">
        <v>46</v>
      </c>
      <c r="B23" t="s">
        <v>249</v>
      </c>
      <c r="C23" s="23" t="s">
        <v>313</v>
      </c>
      <c r="D23" s="23" t="s">
        <v>834</v>
      </c>
      <c r="XER23" t="e">
        <f>INDEX(GeneralMaster!#REF!,0,2)</f>
        <v>#REF!</v>
      </c>
      <c r="XEV23" t="e">
        <f>INDEX(GeneralMaster!#REF!,0,2)</f>
        <v>#REF!</v>
      </c>
    </row>
    <row r="24" spans="1:4 16372:16376">
      <c r="A24" t="s">
        <v>46</v>
      </c>
      <c r="B24" t="s">
        <v>251</v>
      </c>
      <c r="C24" s="23" t="s">
        <v>313</v>
      </c>
      <c r="D24" s="23" t="s">
        <v>545</v>
      </c>
      <c r="XER24" t="e">
        <f>INDEX(GeneralMaster!#REF!,0,2)</f>
        <v>#REF!</v>
      </c>
      <c r="XEV24" t="e">
        <f>INDEX(GeneralMaster!#REF!,0,2)</f>
        <v>#REF!</v>
      </c>
    </row>
    <row r="25" spans="1:4 16372:16376">
      <c r="A25" t="s">
        <v>46</v>
      </c>
      <c r="B25" t="s">
        <v>253</v>
      </c>
      <c r="C25" s="23" t="s">
        <v>313</v>
      </c>
      <c r="D25" s="23" t="s">
        <v>241</v>
      </c>
      <c r="XER25" t="e">
        <f>INDEX(GeneralMaster!#REF!,0,2)</f>
        <v>#REF!</v>
      </c>
      <c r="XEV25" t="e">
        <f>INDEX(GeneralMaster!#REF!,0,2)</f>
        <v>#REF!</v>
      </c>
    </row>
    <row r="26" spans="1:4 16372:16376">
      <c r="A26" t="s">
        <v>46</v>
      </c>
      <c r="B26" t="s">
        <v>255</v>
      </c>
      <c r="C26" s="23" t="s">
        <v>313</v>
      </c>
      <c r="D26" s="23" t="s">
        <v>244</v>
      </c>
      <c r="XER26" t="e">
        <f>INDEX(GeneralMaster!#REF!,0,2)</f>
        <v>#REF!</v>
      </c>
      <c r="XEV26" t="e">
        <f>INDEX(GeneralMaster!#REF!,0,2)</f>
        <v>#REF!</v>
      </c>
    </row>
    <row r="27" spans="1:4 16372:16376">
      <c r="A27" t="s">
        <v>46</v>
      </c>
      <c r="B27" t="s">
        <v>544</v>
      </c>
      <c r="C27" s="23" t="s">
        <v>313</v>
      </c>
      <c r="D27" s="23" t="s">
        <v>246</v>
      </c>
      <c r="XER27" t="e">
        <f>INDEX(GeneralMaster!#REF!,0,2)</f>
        <v>#REF!</v>
      </c>
      <c r="XEV27" t="e">
        <f>INDEX(GeneralMaster!#REF!,0,2)</f>
        <v>#REF!</v>
      </c>
    </row>
    <row r="28" spans="1:4 16372:16376">
      <c r="A28" t="s">
        <v>39</v>
      </c>
      <c r="B28" t="s">
        <v>257</v>
      </c>
      <c r="C28" s="23" t="s">
        <v>313</v>
      </c>
      <c r="D28" s="23" t="s">
        <v>248</v>
      </c>
      <c r="XER28" t="e">
        <f>INDEX(GeneralMaster!#REF!,0,2)</f>
        <v>#REF!</v>
      </c>
      <c r="XEV28" t="e">
        <f>INDEX(GeneralMaster!#REF!,0,2)</f>
        <v>#REF!</v>
      </c>
    </row>
    <row r="29" spans="1:4 16372:16376">
      <c r="A29" t="s">
        <v>39</v>
      </c>
      <c r="B29" t="s">
        <v>259</v>
      </c>
      <c r="C29" s="23" t="s">
        <v>313</v>
      </c>
      <c r="D29" s="23" t="s">
        <v>865</v>
      </c>
      <c r="XER29" t="e">
        <f>INDEX(GeneralMaster!#REF!,0,2)</f>
        <v>#REF!</v>
      </c>
      <c r="XEV29" t="e">
        <f>INDEX(GeneralMaster!#REF!,0,2)</f>
        <v>#REF!</v>
      </c>
    </row>
    <row r="30" spans="1:4 16372:16376">
      <c r="A30" t="s">
        <v>39</v>
      </c>
      <c r="B30" t="s">
        <v>261</v>
      </c>
      <c r="C30" s="23" t="s">
        <v>313</v>
      </c>
      <c r="D30" s="23" t="s">
        <v>250</v>
      </c>
      <c r="XER30" t="e">
        <f>INDEX(GeneralMaster!#REF!,0,2)</f>
        <v>#REF!</v>
      </c>
      <c r="XEV30" t="e">
        <f>INDEX(GeneralMaster!#REF!,0,2)</f>
        <v>#REF!</v>
      </c>
    </row>
    <row r="31" spans="1:4 16372:16376">
      <c r="A31" t="s">
        <v>39</v>
      </c>
      <c r="B31" t="s">
        <v>263</v>
      </c>
      <c r="C31" s="23" t="s">
        <v>313</v>
      </c>
      <c r="D31" s="23" t="s">
        <v>252</v>
      </c>
      <c r="XER31" t="e">
        <f>INDEX(GeneralMaster!#REF!,0,2)</f>
        <v>#REF!</v>
      </c>
      <c r="XEV31" t="e">
        <f>INDEX(GeneralMaster!#REF!,0,2)</f>
        <v>#REF!</v>
      </c>
    </row>
    <row r="32" spans="1:4 16372:16376">
      <c r="A32" t="s">
        <v>39</v>
      </c>
      <c r="B32" t="s">
        <v>265</v>
      </c>
      <c r="C32" s="23" t="s">
        <v>313</v>
      </c>
      <c r="D32" s="23" t="s">
        <v>254</v>
      </c>
      <c r="XER32" t="e">
        <f>INDEX(GeneralMaster!#REF!,0,2)</f>
        <v>#REF!</v>
      </c>
      <c r="XEV32" t="e">
        <f>INDEX(GeneralMaster!#REF!,0,2)</f>
        <v>#REF!</v>
      </c>
    </row>
    <row r="33" spans="1:4 16372:16376">
      <c r="A33" t="s">
        <v>39</v>
      </c>
      <c r="B33" t="s">
        <v>271</v>
      </c>
      <c r="C33" s="23" t="s">
        <v>313</v>
      </c>
      <c r="D33" s="23" t="s">
        <v>256</v>
      </c>
      <c r="XER33" t="e">
        <f>INDEX(GeneralMaster!#REF!,0,2)</f>
        <v>#REF!</v>
      </c>
      <c r="XEV33" t="e">
        <f>INDEX(GeneralMaster!#REF!,0,2)</f>
        <v>#REF!</v>
      </c>
    </row>
    <row r="34" spans="1:4 16372:16376">
      <c r="A34" t="s">
        <v>39</v>
      </c>
      <c r="B34" t="s">
        <v>548</v>
      </c>
      <c r="C34" s="23" t="s">
        <v>313</v>
      </c>
      <c r="D34" s="23" t="s">
        <v>866</v>
      </c>
      <c r="XER34" t="e">
        <f>INDEX(GeneralMaster!#REF!,0,2)</f>
        <v>#REF!</v>
      </c>
      <c r="XEV34" t="e">
        <f>INDEX(GeneralMaster!#REF!,0,2)</f>
        <v>#REF!</v>
      </c>
    </row>
    <row r="35" spans="1:4 16372:16376">
      <c r="A35" t="s">
        <v>37</v>
      </c>
      <c r="B35" t="s">
        <v>526</v>
      </c>
      <c r="C35" s="23" t="s">
        <v>868</v>
      </c>
      <c r="D35" s="23" t="s">
        <v>677</v>
      </c>
      <c r="XER35" t="e">
        <f>INDEX(GeneralMaster!#REF!,0,2)</f>
        <v>#REF!</v>
      </c>
      <c r="XEV35" t="e">
        <f>INDEX(GeneralMaster!#REF!,0,2)</f>
        <v>#REF!</v>
      </c>
    </row>
    <row r="36" spans="1:4 16372:16376">
      <c r="A36" t="s">
        <v>37</v>
      </c>
      <c r="B36" t="s">
        <v>563</v>
      </c>
      <c r="C36" s="23" t="s">
        <v>868</v>
      </c>
      <c r="D36" s="23" t="s">
        <v>869</v>
      </c>
      <c r="XER36" t="e">
        <f>INDEX(GeneralMaster!#REF!,0,2)</f>
        <v>#REF!</v>
      </c>
      <c r="XEV36" t="e">
        <f>INDEX(GeneralMaster!#REF!,0,2)</f>
        <v>#REF!</v>
      </c>
    </row>
    <row r="37" spans="1:4 16372:16376">
      <c r="A37" t="s">
        <v>37</v>
      </c>
      <c r="B37" t="s">
        <v>701</v>
      </c>
      <c r="C37" s="23" t="s">
        <v>868</v>
      </c>
      <c r="D37" s="23" t="s">
        <v>403</v>
      </c>
      <c r="XER37" t="e">
        <f>INDEX(GeneralMaster!#REF!,0,2)</f>
        <v>#REF!</v>
      </c>
      <c r="XEV37" t="e">
        <f>INDEX(GeneralMaster!#REF!,0,2)</f>
        <v>#REF!</v>
      </c>
    </row>
    <row r="38" spans="1:4 16372:16376">
      <c r="A38" t="s">
        <v>37</v>
      </c>
      <c r="B38" t="s">
        <v>717</v>
      </c>
      <c r="C38" s="23" t="s">
        <v>868</v>
      </c>
      <c r="D38" s="23" t="s">
        <v>870</v>
      </c>
      <c r="XER38" t="e">
        <f>INDEX(GeneralMaster!#REF!,0,2)</f>
        <v>#REF!</v>
      </c>
      <c r="XEV38" t="e">
        <f>INDEX(GeneralMaster!#REF!,0,2)</f>
        <v>#REF!</v>
      </c>
    </row>
    <row r="39" spans="1:4 16372:16376">
      <c r="A39" t="s">
        <v>37</v>
      </c>
      <c r="B39" t="s">
        <v>536</v>
      </c>
      <c r="C39" s="23" t="s">
        <v>868</v>
      </c>
      <c r="D39" s="23" t="s">
        <v>871</v>
      </c>
      <c r="XER39" t="e">
        <f>INDEX(GeneralMaster!#REF!,0,2)</f>
        <v>#REF!</v>
      </c>
      <c r="XEV39" t="e">
        <f>INDEX(GeneralMaster!#REF!,0,2)</f>
        <v>#REF!</v>
      </c>
    </row>
    <row r="40" spans="1:4 16372:16376">
      <c r="A40" t="s">
        <v>37</v>
      </c>
      <c r="B40" t="s">
        <v>755</v>
      </c>
      <c r="C40" s="23" t="s">
        <v>829</v>
      </c>
      <c r="D40" s="23" t="s">
        <v>805</v>
      </c>
      <c r="XER40" t="e">
        <f>INDEX(GeneralMaster!#REF!,0,2)</f>
        <v>#REF!</v>
      </c>
      <c r="XEV40" t="e">
        <f>INDEX(GeneralMaster!#REF!,0,2)</f>
        <v>#REF!</v>
      </c>
    </row>
    <row r="41" spans="1:4 16372:16376">
      <c r="A41" t="s">
        <v>756</v>
      </c>
      <c r="B41" t="s">
        <v>648</v>
      </c>
      <c r="C41" s="23" t="s">
        <v>305</v>
      </c>
      <c r="D41" s="23" t="s">
        <v>268</v>
      </c>
      <c r="XER41" t="e">
        <f>INDEX(GeneralMaster!#REF!,0,2)</f>
        <v>#REF!</v>
      </c>
      <c r="XEV41" t="e">
        <f>INDEX(GeneralMaster!#REF!,0,2)</f>
        <v>#REF!</v>
      </c>
    </row>
    <row r="42" spans="1:4 16372:16376">
      <c r="C42" s="23" t="s">
        <v>305</v>
      </c>
      <c r="D42" s="23" t="s">
        <v>270</v>
      </c>
      <c r="XER42" t="e">
        <f>INDEX(GeneralMaster!#REF!,0,2)</f>
        <v>#REF!</v>
      </c>
      <c r="XEV42" t="e">
        <f>INDEX(GeneralMaster!#REF!,0,2)</f>
        <v>#REF!</v>
      </c>
    </row>
    <row r="43" spans="1:4 16372:16376">
      <c r="C43" s="23" t="s">
        <v>305</v>
      </c>
      <c r="D43" s="23" t="s">
        <v>276</v>
      </c>
      <c r="XER43" t="e">
        <f>INDEX(GeneralMaster!#REF!,0,2)</f>
        <v>#REF!</v>
      </c>
      <c r="XEV43" t="e">
        <f>INDEX(GeneralMaster!#REF!,0,2)</f>
        <v>#REF!</v>
      </c>
    </row>
    <row r="44" spans="1:4 16372:16376">
      <c r="C44" s="23" t="s">
        <v>305</v>
      </c>
      <c r="D44" s="23" t="s">
        <v>278</v>
      </c>
      <c r="XER44" t="e">
        <f>INDEX(GeneralMaster!#REF!,0,2)</f>
        <v>#REF!</v>
      </c>
      <c r="XEV44" t="e">
        <f>INDEX(GeneralMaster!#REF!,0,2)</f>
        <v>#REF!</v>
      </c>
    </row>
    <row r="45" spans="1:4 16372:16376">
      <c r="C45" s="23" t="s">
        <v>305</v>
      </c>
      <c r="D45" s="23" t="s">
        <v>560</v>
      </c>
      <c r="XER45" t="e">
        <f>INDEX(GeneralMaster!#REF!,0,2)</f>
        <v>#REF!</v>
      </c>
      <c r="XEV45" t="e">
        <f>INDEX(GeneralMaster!#REF!,0,2)</f>
        <v>#REF!</v>
      </c>
    </row>
    <row r="46" spans="1:4 16372:16376">
      <c r="C46" s="23" t="s">
        <v>305</v>
      </c>
      <c r="D46" s="23" t="s">
        <v>280</v>
      </c>
      <c r="XER46" t="e">
        <f>INDEX(GeneralMaster!#REF!,0,2)</f>
        <v>#REF!</v>
      </c>
      <c r="XEV46" t="e">
        <f>INDEX(GeneralMaster!#REF!,0,2)</f>
        <v>#REF!</v>
      </c>
    </row>
    <row r="47" spans="1:4 16372:16376">
      <c r="C47" s="23" t="s">
        <v>305</v>
      </c>
      <c r="D47" s="23" t="s">
        <v>282</v>
      </c>
      <c r="XER47" t="e">
        <f>INDEX(GeneralMaster!#REF!,0,2)</f>
        <v>#REF!</v>
      </c>
    </row>
    <row r="48" spans="1:4 16372:16376">
      <c r="C48" s="23" t="s">
        <v>305</v>
      </c>
      <c r="D48" s="23" t="s">
        <v>284</v>
      </c>
      <c r="XER48" t="e">
        <f>INDEX(GeneralMaster!#REF!,0,2)</f>
        <v>#REF!</v>
      </c>
    </row>
    <row r="49" spans="3:4 16372:16374">
      <c r="C49" s="23" t="s">
        <v>305</v>
      </c>
      <c r="D49" s="23" t="s">
        <v>649</v>
      </c>
      <c r="XER49" t="e">
        <f>INDEX(GeneralMaster!#REF!,0,2)</f>
        <v>#REF!</v>
      </c>
    </row>
    <row r="50" spans="3:4 16372:16374">
      <c r="C50" s="23" t="s">
        <v>305</v>
      </c>
      <c r="D50" s="23" t="s">
        <v>808</v>
      </c>
      <c r="XET50" t="e">
        <f>INDEX(GeneralMaster!#REF!,0,2)</f>
        <v>#REF!</v>
      </c>
    </row>
    <row r="51" spans="3:4 16372:16374">
      <c r="XET51" t="e">
        <f>INDEX(GeneralMaster!#REF!,0,2)</f>
        <v>#REF!</v>
      </c>
    </row>
    <row r="52" spans="3:4 16372:16374">
      <c r="XET52" t="e">
        <f>INDEX(GeneralMaster!#REF!,0,2)</f>
        <v>#REF!</v>
      </c>
    </row>
    <row r="53" spans="3:4 16372:16374">
      <c r="XET53" t="e">
        <f>INDEX(GeneralMaster!#REF!,0,2)</f>
        <v>#REF!</v>
      </c>
    </row>
    <row r="54" spans="3:4 16372:16374">
      <c r="XET54" t="e">
        <f>INDEX(GeneralMaster!#REF!,0,2)</f>
        <v>#REF!</v>
      </c>
    </row>
    <row r="55" spans="3:4 16372:16374">
      <c r="XET55" t="e">
        <f>INDEX(GeneralMaster!#REF!,0,2)</f>
        <v>#REF!</v>
      </c>
    </row>
    <row r="56" spans="3:4 16372:16374">
      <c r="XET56" t="e">
        <f>INDEX(GeneralMaster!#REF!,0,2)</f>
        <v>#REF!</v>
      </c>
    </row>
    <row r="57" spans="3:4 16372:16374">
      <c r="XET57" t="e">
        <f>INDEX(GeneralMaster!#REF!,0,2)</f>
        <v>#REF!</v>
      </c>
    </row>
    <row r="58" spans="3:4 16372:16374">
      <c r="XET58" t="e">
        <f>INDEX(GeneralMaster!#REF!,0,2)</f>
        <v>#REF!</v>
      </c>
    </row>
    <row r="59" spans="3:4 16372:16374">
      <c r="XET59" t="e">
        <f>INDEX(GeneralMaster!#REF!,0,2)</f>
        <v>#REF!</v>
      </c>
    </row>
    <row r="60" spans="3:4 16372:16374">
      <c r="XET60" t="e">
        <f>INDEX(GeneralMaster!#REF!,0,2)</f>
        <v>#REF!</v>
      </c>
    </row>
    <row r="61" spans="3:4 16372:16374">
      <c r="XET61" t="e">
        <f>INDEX(GeneralMaster!#REF!,0,2)</f>
        <v>#REF!</v>
      </c>
    </row>
    <row r="62" spans="3:4 16372:16374">
      <c r="XET62" t="e">
        <f>INDEX(GeneralMaster!#REF!,0,2)</f>
        <v>#REF!</v>
      </c>
    </row>
    <row r="63" spans="3:4 16372:16374">
      <c r="XET63" t="e">
        <f>INDEX(GeneralMaster!#REF!,0,2)</f>
        <v>#REF!</v>
      </c>
    </row>
    <row r="64" spans="3:4 16372:16374">
      <c r="XET64" t="e">
        <f>INDEX(GeneralMaster!#REF!,0,2)</f>
        <v>#REF!</v>
      </c>
    </row>
    <row r="65" spans="16374:16374">
      <c r="XET65" t="e">
        <f>INDEX(GeneralMaster!#REF!,0,2)</f>
        <v>#REF!</v>
      </c>
    </row>
    <row r="66" spans="16374:16374">
      <c r="XET66" t="e">
        <f>INDEX(GeneralMaster!#REF!,0,2)</f>
        <v>#REF!</v>
      </c>
    </row>
    <row r="67" spans="16374:16374">
      <c r="XET67" t="e">
        <f>INDEX(GeneralMaster!#REF!,0,2)</f>
        <v>#REF!</v>
      </c>
    </row>
    <row r="68" spans="16374:16374">
      <c r="XET68" t="e">
        <f>INDEX(GeneralMaster!#REF!,0,2)</f>
        <v>#REF!</v>
      </c>
    </row>
    <row r="69" spans="16374:16374">
      <c r="XET69" t="e">
        <f>INDEX(GeneralMaster!#REF!,0,2)</f>
        <v>#REF!</v>
      </c>
    </row>
    <row r="70" spans="16374:16374">
      <c r="XET70" t="e">
        <f>INDEX(GeneralMaster!#REF!,0,2)</f>
        <v>#REF!</v>
      </c>
    </row>
    <row r="71" spans="16374:16374">
      <c r="XET71" t="e">
        <f>INDEX(GeneralMaster!#REF!,0,2)</f>
        <v>#REF!</v>
      </c>
    </row>
    <row r="72" spans="16374:16374">
      <c r="XET72" t="e">
        <f>INDEX(GeneralMaster!#REF!,0,2)</f>
        <v>#REF!</v>
      </c>
    </row>
    <row r="73" spans="16374:16374">
      <c r="XET73" t="e">
        <f>INDEX(GeneralMaster!#REF!,0,2)</f>
        <v>#REF!</v>
      </c>
    </row>
    <row r="74" spans="16374:16374">
      <c r="XET74" t="e">
        <f>INDEX(GeneralMaster!#REF!,0,2)</f>
        <v>#REF!</v>
      </c>
    </row>
    <row r="75" spans="16374:16374">
      <c r="XET75" t="e">
        <f>INDEX(GeneralMaster!#REF!,0,2)</f>
        <v>#REF!</v>
      </c>
    </row>
    <row r="76" spans="16374:16374">
      <c r="XET76" t="e">
        <f>INDEX(GeneralMaster!#REF!,0,2)</f>
        <v>#REF!</v>
      </c>
    </row>
    <row r="77" spans="16374:16374">
      <c r="XET77" t="e">
        <f>INDEX(GeneralMaster!#REF!,0,2)</f>
        <v>#REF!</v>
      </c>
    </row>
    <row r="78" spans="16374:16374">
      <c r="XET78" t="e">
        <f>INDEX(GeneralMaster!#REF!,0,2)</f>
        <v>#REF!</v>
      </c>
    </row>
    <row r="79" spans="16374:16374">
      <c r="XET79" t="e">
        <f>INDEX(GeneralMaster!#REF!,0,2)</f>
        <v>#REF!</v>
      </c>
    </row>
    <row r="80" spans="16374:16374">
      <c r="XET80" t="e">
        <f>INDEX(GeneralMaster!#REF!,0,2)</f>
        <v>#REF!</v>
      </c>
    </row>
    <row r="81" spans="16374:16374">
      <c r="XET81" t="e">
        <f>INDEX(GeneralMaster!#REF!,0,2)</f>
        <v>#REF!</v>
      </c>
    </row>
    <row r="82" spans="16374:16374">
      <c r="XET82" t="e">
        <f>INDEX(GeneralMaster!#REF!,0,2)</f>
        <v>#REF!</v>
      </c>
    </row>
    <row r="83" spans="16374:16374">
      <c r="XET83" t="e">
        <f>INDEX(GeneralMaster!#REF!,0,2)</f>
        <v>#REF!</v>
      </c>
    </row>
    <row r="84" spans="16374:16374">
      <c r="XET84" t="e">
        <f>INDEX(GeneralMaster!#REF!,0,2)</f>
        <v>#REF!</v>
      </c>
    </row>
    <row r="85" spans="16374:16374">
      <c r="XET85" t="e">
        <f>INDEX(GeneralMaster!#REF!,0,2)</f>
        <v>#REF!</v>
      </c>
    </row>
    <row r="86" spans="16374:16374">
      <c r="XET86" t="e">
        <f>INDEX(GeneralMaster!#REF!,0,2)</f>
        <v>#REF!</v>
      </c>
    </row>
    <row r="87" spans="16374:16374">
      <c r="XET87" t="e">
        <f>INDEX(GeneralMaster!#REF!,0,2)</f>
        <v>#REF!</v>
      </c>
    </row>
    <row r="88" spans="16374:16374">
      <c r="XET88" t="e">
        <f>INDEX(GeneralMaster!#REF!,0,2)</f>
        <v>#REF!</v>
      </c>
    </row>
    <row r="89" spans="16374:16374">
      <c r="XET89" t="e">
        <f>INDEX(GeneralMaster!#REF!,0,2)</f>
        <v>#REF!</v>
      </c>
    </row>
    <row r="90" spans="16374:16374">
      <c r="XET90" t="e">
        <f>INDEX(GeneralMaster!#REF!,0,2)</f>
        <v>#REF!</v>
      </c>
    </row>
    <row r="91" spans="16374:16374">
      <c r="XET91" t="e">
        <f>INDEX(GeneralMaster!#REF!,0,2)</f>
        <v>#REF!</v>
      </c>
    </row>
    <row r="92" spans="16374:16374">
      <c r="XET92" t="e">
        <f>INDEX(GeneralMaster!#REF!,0,2)</f>
        <v>#REF!</v>
      </c>
    </row>
    <row r="93" spans="16374:16374">
      <c r="XET93" t="e">
        <f>INDEX(GeneralMaster!#REF!,0,2)</f>
        <v>#REF!</v>
      </c>
    </row>
    <row r="94" spans="16374:16374">
      <c r="XET94" t="e">
        <f>INDEX(GeneralMaster!#REF!,0,2)</f>
        <v>#REF!</v>
      </c>
    </row>
    <row r="95" spans="16374:16374">
      <c r="XET95" t="e">
        <f>INDEX(GeneralMaster!#REF!,0,2)</f>
        <v>#REF!</v>
      </c>
    </row>
    <row r="96" spans="16374:16374">
      <c r="XET96" t="e">
        <f>INDEX(GeneralMaster!#REF!,0,2)</f>
        <v>#REF!</v>
      </c>
    </row>
    <row r="97" spans="16374:16374">
      <c r="XET97" t="e">
        <f>INDEX(GeneralMaster!#REF!,0,2)</f>
        <v>#REF!</v>
      </c>
    </row>
    <row r="98" spans="16374:16374">
      <c r="XET98" t="e">
        <f>INDEX(GeneralMaster!#REF!,0,2)</f>
        <v>#REF!</v>
      </c>
    </row>
    <row r="99" spans="16374:16374">
      <c r="XET99" t="e">
        <f>INDEX(GeneralMaster!#REF!,0,2)</f>
        <v>#REF!</v>
      </c>
    </row>
    <row r="100" spans="16374:16374">
      <c r="XET100" t="e">
        <f>INDEX(GeneralMaster!#REF!,0,2)</f>
        <v>#REF!</v>
      </c>
    </row>
    <row r="101" spans="16374:16374">
      <c r="XET101" t="e">
        <f>INDEX(GeneralMaster!#REF!,0,2)</f>
        <v>#REF!</v>
      </c>
    </row>
    <row r="102" spans="16374:16374">
      <c r="XET102" t="e">
        <f>INDEX(GeneralMaster!#REF!,0,2)</f>
        <v>#REF!</v>
      </c>
    </row>
    <row r="103" spans="16374:16374">
      <c r="XET103" t="e">
        <f>INDEX(GeneralMaster!#REF!,0,2)</f>
        <v>#REF!</v>
      </c>
    </row>
    <row r="104" spans="16374:16374">
      <c r="XET104" t="e">
        <f>INDEX(GeneralMaster!#REF!,0,2)</f>
        <v>#REF!</v>
      </c>
    </row>
    <row r="105" spans="16374:16374">
      <c r="XET105" t="e">
        <f>INDEX(GeneralMaster!#REF!,0,2)</f>
        <v>#REF!</v>
      </c>
    </row>
    <row r="106" spans="16374:16374">
      <c r="XET106" t="e">
        <f>INDEX(GeneralMaster!#REF!,0,2)</f>
        <v>#REF!</v>
      </c>
    </row>
    <row r="107" spans="16374:16374">
      <c r="XET107" t="e">
        <f>INDEX(GeneralMaster!#REF!,0,2)</f>
        <v>#REF!</v>
      </c>
    </row>
    <row r="108" spans="16374:16374">
      <c r="XET108" t="e">
        <f>INDEX(GeneralMaster!#REF!,0,2)</f>
        <v>#REF!</v>
      </c>
    </row>
    <row r="109" spans="16374:16374">
      <c r="XET109" t="e">
        <f>INDEX(GeneralMaster!#REF!,0,2)</f>
        <v>#REF!</v>
      </c>
    </row>
    <row r="110" spans="16374:16374">
      <c r="XET110" t="e">
        <f>INDEX(GeneralMaster!#REF!,0,2)</f>
        <v>#REF!</v>
      </c>
    </row>
    <row r="111" spans="16374:16374">
      <c r="XET111" t="e">
        <f>INDEX(GeneralMaster!#REF!,0,2)</f>
        <v>#REF!</v>
      </c>
    </row>
    <row r="112" spans="16374:16374">
      <c r="XET112" t="e">
        <f>INDEX(GeneralMaster!#REF!,0,2)</f>
        <v>#REF!</v>
      </c>
    </row>
    <row r="113" spans="16374:16374">
      <c r="XET113" t="e">
        <f>INDEX(GeneralMaster!#REF!,0,2)</f>
        <v>#REF!</v>
      </c>
    </row>
    <row r="114" spans="16374:16374">
      <c r="XET114" t="e">
        <f>INDEX(GeneralMaster!#REF!,0,2)</f>
        <v>#REF!</v>
      </c>
    </row>
    <row r="115" spans="16374:16374">
      <c r="XET115" t="e">
        <f>INDEX(GeneralMaster!#REF!,0,2)</f>
        <v>#REF!</v>
      </c>
    </row>
    <row r="116" spans="16374:16374">
      <c r="XET116" t="e">
        <f>INDEX(GeneralMaster!#REF!,0,2)</f>
        <v>#REF!</v>
      </c>
    </row>
    <row r="117" spans="16374:16374">
      <c r="XET117" t="e">
        <f>INDEX(GeneralMaster!#REF!,0,2)</f>
        <v>#REF!</v>
      </c>
    </row>
    <row r="118" spans="16374:16374">
      <c r="XET118" t="e">
        <f>INDEX(GeneralMaster!#REF!,0,2)</f>
        <v>#REF!</v>
      </c>
    </row>
    <row r="119" spans="16374:16374">
      <c r="XET119" t="e">
        <f>INDEX(GeneralMaster!#REF!,0,2)</f>
        <v>#REF!</v>
      </c>
    </row>
    <row r="120" spans="16374:16374">
      <c r="XET120" t="e">
        <f>INDEX(GeneralMaster!#REF!,0,2)</f>
        <v>#REF!</v>
      </c>
    </row>
    <row r="121" spans="16374:16374">
      <c r="XET121" t="e">
        <f>INDEX(GeneralMaster!#REF!,0,2)</f>
        <v>#REF!</v>
      </c>
    </row>
    <row r="122" spans="16374:16374">
      <c r="XET122" t="e">
        <f>INDEX(GeneralMaster!#REF!,0,2)</f>
        <v>#REF!</v>
      </c>
    </row>
    <row r="123" spans="16374:16374">
      <c r="XET123" t="e">
        <f>INDEX(GeneralMaster!#REF!,0,2)</f>
        <v>#REF!</v>
      </c>
    </row>
    <row r="124" spans="16374:16374">
      <c r="XET124" t="e">
        <f>INDEX(GeneralMaster!#REF!,0,2)</f>
        <v>#REF!</v>
      </c>
    </row>
    <row r="125" spans="16374:16374">
      <c r="XET125" t="e">
        <f>INDEX(GeneralMaster!#REF!,0,2)</f>
        <v>#REF!</v>
      </c>
    </row>
    <row r="126" spans="16374:16374">
      <c r="XET126" t="e">
        <f>INDEX(GeneralMaster!#REF!,0,2)</f>
        <v>#REF!</v>
      </c>
    </row>
    <row r="127" spans="16374:16374">
      <c r="XET127" t="e">
        <f>INDEX(GeneralMaster!#REF!,0,2)</f>
        <v>#REF!</v>
      </c>
    </row>
    <row r="128" spans="16374:16374">
      <c r="XET128" t="e">
        <f>INDEX(GeneralMaster!#REF!,0,2)</f>
        <v>#REF!</v>
      </c>
    </row>
    <row r="129" spans="16374:16374">
      <c r="XET129" t="e">
        <f>INDEX(GeneralMaster!#REF!,0,2)</f>
        <v>#REF!</v>
      </c>
    </row>
    <row r="130" spans="16374:16374">
      <c r="XET130" t="e">
        <f>INDEX(GeneralMaster!#REF!,0,2)</f>
        <v>#REF!</v>
      </c>
    </row>
    <row r="131" spans="16374:16374">
      <c r="XET131" t="e">
        <f>INDEX(GeneralMaster!#REF!,0,2)</f>
        <v>#REF!</v>
      </c>
    </row>
    <row r="132" spans="16374:16374">
      <c r="XET132" t="e">
        <f>INDEX(GeneralMaster!#REF!,0,2)</f>
        <v>#REF!</v>
      </c>
    </row>
    <row r="133" spans="16374:16374">
      <c r="XET133" t="e">
        <f>INDEX(GeneralMaster!#REF!,0,2)</f>
        <v>#REF!</v>
      </c>
    </row>
    <row r="134" spans="16374:16374">
      <c r="XET134" t="e">
        <f>INDEX(GeneralMaster!#REF!,0,2)</f>
        <v>#REF!</v>
      </c>
    </row>
    <row r="135" spans="16374:16374">
      <c r="XET135" t="e">
        <f>INDEX(GeneralMaster!#REF!,0,2)</f>
        <v>#REF!</v>
      </c>
    </row>
    <row r="136" spans="16374:16374">
      <c r="XET136" t="e">
        <f>INDEX(GeneralMaster!#REF!,0,2)</f>
        <v>#REF!</v>
      </c>
    </row>
    <row r="137" spans="16374:16374">
      <c r="XET137" t="e">
        <f>INDEX(GeneralMaster!#REF!,0,2)</f>
        <v>#REF!</v>
      </c>
    </row>
    <row r="138" spans="16374:16374">
      <c r="XET138" t="e">
        <f>INDEX(GeneralMaster!#REF!,0,2)</f>
        <v>#REF!</v>
      </c>
    </row>
    <row r="139" spans="16374:16374">
      <c r="XET139" t="e">
        <f>INDEX(GeneralMaster!#REF!,0,2)</f>
        <v>#REF!</v>
      </c>
    </row>
    <row r="140" spans="16374:16374">
      <c r="XET140" t="e">
        <f>INDEX(GeneralMaster!#REF!,0,2)</f>
        <v>#REF!</v>
      </c>
    </row>
    <row r="141" spans="16374:16374">
      <c r="XET141" t="e">
        <f>INDEX(GeneralMaster!#REF!,0,2)</f>
        <v>#REF!</v>
      </c>
    </row>
    <row r="142" spans="16374:16374">
      <c r="XET142" t="e">
        <f>INDEX(GeneralMaster!#REF!,0,2)</f>
        <v>#REF!</v>
      </c>
    </row>
    <row r="143" spans="16374:16374">
      <c r="XET143" t="e">
        <f>INDEX(GeneralMaster!#REF!,0,2)</f>
        <v>#REF!</v>
      </c>
    </row>
    <row r="144" spans="16374:16374">
      <c r="XET144" t="e">
        <f>INDEX(GeneralMaster!#REF!,0,2)</f>
        <v>#REF!</v>
      </c>
    </row>
    <row r="145" spans="16374:16374">
      <c r="XET145" t="e">
        <f>INDEX(GeneralMaster!#REF!,0,2)</f>
        <v>#REF!</v>
      </c>
    </row>
    <row r="146" spans="16374:16374">
      <c r="XET146" t="e">
        <f>INDEX(GeneralMaster!#REF!,0,2)</f>
        <v>#REF!</v>
      </c>
    </row>
    <row r="147" spans="16374:16374">
      <c r="XET147" t="e">
        <f>INDEX(GeneralMaster!#REF!,0,2)</f>
        <v>#REF!</v>
      </c>
    </row>
    <row r="148" spans="16374:16374">
      <c r="XET148" t="e">
        <f>INDEX(GeneralMaster!#REF!,0,2)</f>
        <v>#REF!</v>
      </c>
    </row>
    <row r="149" spans="16374:16374">
      <c r="XET149" t="e">
        <f>INDEX(GeneralMaster!#REF!,0,2)</f>
        <v>#REF!</v>
      </c>
    </row>
    <row r="150" spans="16374:16374">
      <c r="XET150" t="e">
        <f>INDEX(GeneralMaster!#REF!,0,2)</f>
        <v>#REF!</v>
      </c>
    </row>
    <row r="151" spans="16374:16374">
      <c r="XET151" t="e">
        <f>INDEX(GeneralMaster!#REF!,0,2)</f>
        <v>#REF!</v>
      </c>
    </row>
    <row r="152" spans="16374:16374">
      <c r="XET152" t="e">
        <f>INDEX(GeneralMaster!#REF!,0,2)</f>
        <v>#REF!</v>
      </c>
    </row>
    <row r="153" spans="16374:16374">
      <c r="XET153" t="e">
        <f>INDEX(GeneralMaster!#REF!,0,2)</f>
        <v>#REF!</v>
      </c>
    </row>
    <row r="154" spans="16374:16374">
      <c r="XET154" t="e">
        <f>INDEX(GeneralMaster!#REF!,0,2)</f>
        <v>#REF!</v>
      </c>
    </row>
    <row r="155" spans="16374:16374">
      <c r="XET155" t="e">
        <f>INDEX(GeneralMaster!#REF!,0,2)</f>
        <v>#REF!</v>
      </c>
    </row>
    <row r="156" spans="16374:16374">
      <c r="XET156" t="e">
        <f>INDEX(GeneralMaster!#REF!,0,2)</f>
        <v>#REF!</v>
      </c>
    </row>
    <row r="157" spans="16374:16374">
      <c r="XET157" t="e">
        <f>INDEX(GeneralMaster!#REF!,0,2)</f>
        <v>#REF!</v>
      </c>
    </row>
    <row r="158" spans="16374:16374">
      <c r="XET158" t="e">
        <f>INDEX(GeneralMaster!#REF!,0,2)</f>
        <v>#REF!</v>
      </c>
    </row>
    <row r="159" spans="16374:16374">
      <c r="XET159" t="e">
        <f>INDEX(GeneralMaster!#REF!,0,2)</f>
        <v>#REF!</v>
      </c>
    </row>
    <row r="160" spans="16374:16374">
      <c r="XET160" t="e">
        <f>INDEX(GeneralMaster!#REF!,0,2)</f>
        <v>#REF!</v>
      </c>
    </row>
    <row r="161" spans="16374:16374">
      <c r="XET161" t="e">
        <f>INDEX(GeneralMaster!#REF!,0,2)</f>
        <v>#REF!</v>
      </c>
    </row>
    <row r="162" spans="16374:16374">
      <c r="XET162" t="e">
        <f>INDEX(GeneralMaster!#REF!,0,2)</f>
        <v>#REF!</v>
      </c>
    </row>
    <row r="163" spans="16374:16374">
      <c r="XET163" t="e">
        <f>INDEX(GeneralMaster!#REF!,0,2)</f>
        <v>#REF!</v>
      </c>
    </row>
    <row r="164" spans="16374:16374">
      <c r="XET164" t="e">
        <f>INDEX(GeneralMaster!#REF!,0,2)</f>
        <v>#REF!</v>
      </c>
    </row>
    <row r="165" spans="16374:16374">
      <c r="XET165" t="e">
        <f>INDEX(GeneralMaster!#REF!,0,2)</f>
        <v>#REF!</v>
      </c>
    </row>
    <row r="166" spans="16374:16374">
      <c r="XET166" t="e">
        <f>INDEX(GeneralMaster!#REF!,0,2)</f>
        <v>#REF!</v>
      </c>
    </row>
    <row r="167" spans="16374:16374">
      <c r="XET167" t="e">
        <f>INDEX(GeneralMaster!#REF!,0,2)</f>
        <v>#REF!</v>
      </c>
    </row>
    <row r="168" spans="16374:16374">
      <c r="XET168" t="e">
        <f>INDEX(GeneralMaster!#REF!,0,2)</f>
        <v>#REF!</v>
      </c>
    </row>
    <row r="169" spans="16374:16374">
      <c r="XET169" t="e">
        <f>INDEX(GeneralMaster!#REF!,0,2)</f>
        <v>#REF!</v>
      </c>
    </row>
    <row r="170" spans="16374:16374">
      <c r="XET170" t="e">
        <f>INDEX(GeneralMaster!#REF!,0,2)</f>
        <v>#REF!</v>
      </c>
    </row>
    <row r="171" spans="16374:16374">
      <c r="XET171" t="e">
        <f>INDEX(GeneralMaster!#REF!,0,2)</f>
        <v>#REF!</v>
      </c>
    </row>
    <row r="172" spans="16374:16374">
      <c r="XET172" t="e">
        <f>INDEX(GeneralMaster!#REF!,0,2)</f>
        <v>#REF!</v>
      </c>
    </row>
    <row r="173" spans="16374:16374">
      <c r="XET173" t="e">
        <f>INDEX(GeneralMaster!#REF!,0,2)</f>
        <v>#REF!</v>
      </c>
    </row>
    <row r="174" spans="16374:16374">
      <c r="XET174" t="e">
        <f>INDEX(GeneralMaster!#REF!,0,2)</f>
        <v>#REF!</v>
      </c>
    </row>
    <row r="175" spans="16374:16374">
      <c r="XET175" t="e">
        <f>INDEX(GeneralMaster!#REF!,0,2)</f>
        <v>#REF!</v>
      </c>
    </row>
    <row r="176" spans="16374:16374">
      <c r="XET176" t="e">
        <f>INDEX(GeneralMaster!#REF!,0,2)</f>
        <v>#REF!</v>
      </c>
    </row>
    <row r="177" spans="16374:16374">
      <c r="XET177" t="e">
        <f>INDEX(GeneralMaster!#REF!,0,2)</f>
        <v>#REF!</v>
      </c>
    </row>
    <row r="178" spans="16374:16374">
      <c r="XET178" t="e">
        <f>INDEX(GeneralMaster!#REF!,0,2)</f>
        <v>#REF!</v>
      </c>
    </row>
    <row r="179" spans="16374:16374">
      <c r="XET179" t="e">
        <f>INDEX(GeneralMaster!#REF!,0,2)</f>
        <v>#REF!</v>
      </c>
    </row>
    <row r="180" spans="16374:16374">
      <c r="XET180" t="e">
        <f>INDEX(GeneralMaster!#REF!,0,2)</f>
        <v>#REF!</v>
      </c>
    </row>
    <row r="181" spans="16374:16374">
      <c r="XET181" t="e">
        <f>INDEX(GeneralMaster!#REF!,0,2)</f>
        <v>#REF!</v>
      </c>
    </row>
    <row r="182" spans="16374:16374">
      <c r="XET182" t="e">
        <f>INDEX(GeneralMaster!#REF!,0,2)</f>
        <v>#REF!</v>
      </c>
    </row>
    <row r="183" spans="16374:16374">
      <c r="XET183" t="e">
        <f>INDEX(GeneralMaster!#REF!,0,2)</f>
        <v>#REF!</v>
      </c>
    </row>
    <row r="184" spans="16374:16374">
      <c r="XET184" t="e">
        <f>INDEX(GeneralMaster!#REF!,0,2)</f>
        <v>#REF!</v>
      </c>
    </row>
    <row r="185" spans="16374:16374">
      <c r="XET185" t="e">
        <f>INDEX(GeneralMaster!#REF!,0,2)</f>
        <v>#REF!</v>
      </c>
    </row>
    <row r="186" spans="16374:16374">
      <c r="XET186" t="e">
        <f>INDEX(GeneralMaster!#REF!,0,2)</f>
        <v>#REF!</v>
      </c>
    </row>
    <row r="187" spans="16374:16374">
      <c r="XET187" t="e">
        <f>INDEX(GeneralMaster!#REF!,0,2)</f>
        <v>#REF!</v>
      </c>
    </row>
    <row r="188" spans="16374:16374">
      <c r="XET188" t="e">
        <f>INDEX(GeneralMaster!#REF!,0,2)</f>
        <v>#REF!</v>
      </c>
    </row>
    <row r="189" spans="16374:16374">
      <c r="XET189" t="e">
        <f>INDEX(GeneralMaster!#REF!,0,2)</f>
        <v>#REF!</v>
      </c>
    </row>
    <row r="190" spans="16374:16374">
      <c r="XET190" t="e">
        <f>INDEX(GeneralMaster!#REF!,0,2)</f>
        <v>#REF!</v>
      </c>
    </row>
    <row r="191" spans="16374:16374">
      <c r="XET191" t="e">
        <f>INDEX(GeneralMaster!#REF!,0,2)</f>
        <v>#REF!</v>
      </c>
    </row>
    <row r="192" spans="16374:16374">
      <c r="XET192" t="e">
        <f>INDEX(GeneralMaster!#REF!,0,2)</f>
        <v>#REF!</v>
      </c>
    </row>
    <row r="193" spans="16374:16374">
      <c r="XET193" t="e">
        <f>INDEX(GeneralMaster!#REF!,0,2)</f>
        <v>#REF!</v>
      </c>
    </row>
    <row r="194" spans="16374:16374">
      <c r="XET194" t="e">
        <f>INDEX(GeneralMaster!#REF!,0,2)</f>
        <v>#REF!</v>
      </c>
    </row>
    <row r="195" spans="16374:16374">
      <c r="XET195" t="e">
        <f>INDEX(GeneralMaster!#REF!,0,2)</f>
        <v>#REF!</v>
      </c>
    </row>
    <row r="196" spans="16374:16374">
      <c r="XET196" t="e">
        <f>INDEX(GeneralMaster!#REF!,0,2)</f>
        <v>#REF!</v>
      </c>
    </row>
    <row r="197" spans="16374:16374">
      <c r="XET197" t="e">
        <f>INDEX(GeneralMaster!#REF!,0,2)</f>
        <v>#REF!</v>
      </c>
    </row>
    <row r="198" spans="16374:16374">
      <c r="XET198" t="e">
        <f>INDEX(GeneralMaster!#REF!,0,2)</f>
        <v>#REF!</v>
      </c>
    </row>
    <row r="199" spans="16374:16374">
      <c r="XET199" t="e">
        <f>INDEX(GeneralMaster!#REF!,0,2)</f>
        <v>#REF!</v>
      </c>
    </row>
    <row r="200" spans="16374:16374">
      <c r="XET200" t="e">
        <f>INDEX(GeneralMaster!#REF!,0,2)</f>
        <v>#REF!</v>
      </c>
    </row>
    <row r="201" spans="16374:16374">
      <c r="XET201" t="e">
        <f>INDEX(GeneralMaster!#REF!,0,2)</f>
        <v>#REF!</v>
      </c>
    </row>
    <row r="202" spans="16374:16374">
      <c r="XET202" t="e">
        <f>INDEX(GeneralMaster!#REF!,0,2)</f>
        <v>#REF!</v>
      </c>
    </row>
    <row r="203" spans="16374:16374">
      <c r="XET203" t="e">
        <f>INDEX(GeneralMaster!#REF!,0,2)</f>
        <v>#REF!</v>
      </c>
    </row>
    <row r="204" spans="16374:16374">
      <c r="XET204" t="e">
        <f>INDEX(GeneralMaster!#REF!,0,2)</f>
        <v>#REF!</v>
      </c>
    </row>
    <row r="205" spans="16374:16374">
      <c r="XET205" t="e">
        <f>INDEX(GeneralMaster!#REF!,0,2)</f>
        <v>#REF!</v>
      </c>
    </row>
    <row r="206" spans="16374:16374">
      <c r="XET206" t="e">
        <f>INDEX(GeneralMaster!#REF!,0,2)</f>
        <v>#REF!</v>
      </c>
    </row>
    <row r="207" spans="16374:16374">
      <c r="XET207" t="e">
        <f>INDEX(GeneralMaster!#REF!,0,2)</f>
        <v>#REF!</v>
      </c>
    </row>
    <row r="208" spans="16374:16374">
      <c r="XET208" t="e">
        <f>INDEX(GeneralMaster!#REF!,0,2)</f>
        <v>#REF!</v>
      </c>
    </row>
    <row r="209" spans="16374:16374">
      <c r="XET209" t="e">
        <f>INDEX(GeneralMaster!#REF!,0,2)</f>
        <v>#REF!</v>
      </c>
    </row>
    <row r="210" spans="16374:16374">
      <c r="XET210" t="e">
        <f>INDEX(GeneralMaster!#REF!,0,2)</f>
        <v>#REF!</v>
      </c>
    </row>
    <row r="211" spans="16374:16374">
      <c r="XET211" t="e">
        <f>INDEX(GeneralMaster!#REF!,0,2)</f>
        <v>#REF!</v>
      </c>
    </row>
    <row r="212" spans="16374:16374">
      <c r="XET212" t="e">
        <f>INDEX(GeneralMaster!#REF!,0,2)</f>
        <v>#REF!</v>
      </c>
    </row>
    <row r="213" spans="16374:16374">
      <c r="XET213" t="e">
        <f>INDEX(GeneralMaster!#REF!,0,2)</f>
        <v>#REF!</v>
      </c>
    </row>
    <row r="214" spans="16374:16374">
      <c r="XET214" t="e">
        <f>INDEX(GeneralMaster!#REF!,0,2)</f>
        <v>#REF!</v>
      </c>
    </row>
    <row r="215" spans="16374:16374">
      <c r="XET215" t="e">
        <f>INDEX(GeneralMaster!#REF!,0,2)</f>
        <v>#REF!</v>
      </c>
    </row>
    <row r="216" spans="16374:16374">
      <c r="XET216" t="e">
        <f>INDEX(GeneralMaster!#REF!,0,2)</f>
        <v>#REF!</v>
      </c>
    </row>
    <row r="217" spans="16374:16374">
      <c r="XET217" t="e">
        <f>INDEX(GeneralMaster!#REF!,0,2)</f>
        <v>#REF!</v>
      </c>
    </row>
    <row r="218" spans="16374:16374">
      <c r="XET218" t="e">
        <f>INDEX(GeneralMaster!#REF!,0,2)</f>
        <v>#REF!</v>
      </c>
    </row>
    <row r="219" spans="16374:16374">
      <c r="XET219" t="e">
        <f>INDEX(GeneralMaster!#REF!,0,2)</f>
        <v>#REF!</v>
      </c>
    </row>
    <row r="220" spans="16374:16374">
      <c r="XET220" t="e">
        <f>INDEX(GeneralMaster!#REF!,0,2)</f>
        <v>#REF!</v>
      </c>
    </row>
    <row r="221" spans="16374:16374">
      <c r="XET221" t="e">
        <f>INDEX(GeneralMaster!#REF!,0,2)</f>
        <v>#REF!</v>
      </c>
    </row>
    <row r="222" spans="16374:16374">
      <c r="XET222" t="e">
        <f>INDEX(GeneralMaster!#REF!,0,2)</f>
        <v>#REF!</v>
      </c>
    </row>
    <row r="223" spans="16374:16374">
      <c r="XET223" t="e">
        <f>INDEX(GeneralMaster!#REF!,0,2)</f>
        <v>#REF!</v>
      </c>
    </row>
    <row r="224" spans="16374:16374">
      <c r="XET224" t="e">
        <f>INDEX(GeneralMaster!#REF!,0,2)</f>
        <v>#REF!</v>
      </c>
    </row>
    <row r="225" spans="16374:16374">
      <c r="XET225" t="e">
        <f>INDEX(GeneralMaster!#REF!,0,2)</f>
        <v>#REF!</v>
      </c>
    </row>
    <row r="226" spans="16374:16374">
      <c r="XET226" t="e">
        <f>INDEX(GeneralMaster!#REF!,0,2)</f>
        <v>#REF!</v>
      </c>
    </row>
    <row r="227" spans="16374:16374">
      <c r="XET227" t="e">
        <f>INDEX(GeneralMaster!#REF!,0,2)</f>
        <v>#REF!</v>
      </c>
    </row>
    <row r="228" spans="16374:16374">
      <c r="XET228" t="e">
        <f>INDEX(GeneralMaster!#REF!,0,2)</f>
        <v>#REF!</v>
      </c>
    </row>
    <row r="229" spans="16374:16374">
      <c r="XET229" t="e">
        <f>INDEX(GeneralMaster!#REF!,0,2)</f>
        <v>#REF!</v>
      </c>
    </row>
    <row r="230" spans="16374:16374">
      <c r="XET230" t="e">
        <f>INDEX(GeneralMaster!#REF!,0,2)</f>
        <v>#REF!</v>
      </c>
    </row>
    <row r="231" spans="16374:16374">
      <c r="XET231" t="e">
        <f>INDEX(GeneralMaster!#REF!,0,2)</f>
        <v>#REF!</v>
      </c>
    </row>
    <row r="232" spans="16374:16374">
      <c r="XET232" t="e">
        <f>INDEX(GeneralMaster!#REF!,0,2)</f>
        <v>#REF!</v>
      </c>
    </row>
    <row r="233" spans="16374:16374">
      <c r="XET233" t="e">
        <f>INDEX(GeneralMaster!#REF!,0,2)</f>
        <v>#REF!</v>
      </c>
    </row>
    <row r="234" spans="16374:16374">
      <c r="XET234" t="e">
        <f>INDEX(GeneralMaster!#REF!,0,2)</f>
        <v>#REF!</v>
      </c>
    </row>
    <row r="235" spans="16374:16374">
      <c r="XET235" t="e">
        <f>INDEX(GeneralMaster!#REF!,0,2)</f>
        <v>#REF!</v>
      </c>
    </row>
    <row r="236" spans="16374:16374">
      <c r="XET236" t="e">
        <f>INDEX(GeneralMaster!#REF!,0,2)</f>
        <v>#REF!</v>
      </c>
    </row>
    <row r="237" spans="16374:16374">
      <c r="XET237" t="e">
        <f>INDEX(GeneralMaster!#REF!,0,2)</f>
        <v>#REF!</v>
      </c>
    </row>
    <row r="238" spans="16374:16374">
      <c r="XET238" t="e">
        <f>INDEX(GeneralMaster!#REF!,0,2)</f>
        <v>#REF!</v>
      </c>
    </row>
    <row r="239" spans="16374:16374">
      <c r="XET239" t="e">
        <f>INDEX(GeneralMaster!#REF!,0,2)</f>
        <v>#REF!</v>
      </c>
    </row>
    <row r="240" spans="16374:16374">
      <c r="XET240" t="e">
        <f>INDEX(GeneralMaster!#REF!,0,2)</f>
        <v>#REF!</v>
      </c>
    </row>
    <row r="241" spans="16374:16374">
      <c r="XET241" t="e">
        <f>INDEX(GeneralMaster!#REF!,0,2)</f>
        <v>#REF!</v>
      </c>
    </row>
    <row r="242" spans="16374:16374">
      <c r="XET242" t="e">
        <f>INDEX(GeneralMaster!#REF!,0,2)</f>
        <v>#REF!</v>
      </c>
    </row>
    <row r="243" spans="16374:16374">
      <c r="XET243" t="e">
        <f>INDEX(GeneralMaster!#REF!,0,2)</f>
        <v>#REF!</v>
      </c>
    </row>
    <row r="244" spans="16374:16374">
      <c r="XET244" t="e">
        <f>INDEX(GeneralMaster!#REF!,0,2)</f>
        <v>#REF!</v>
      </c>
    </row>
    <row r="245" spans="16374:16374">
      <c r="XET245" t="e">
        <f>INDEX(GeneralMaster!#REF!,0,2)</f>
        <v>#REF!</v>
      </c>
    </row>
    <row r="246" spans="16374:16374">
      <c r="XET246" t="e">
        <f>INDEX(GeneralMaster!#REF!,0,2)</f>
        <v>#REF!</v>
      </c>
    </row>
    <row r="247" spans="16374:16374">
      <c r="XET247" t="e">
        <f>INDEX(GeneralMaster!#REF!,0,2)</f>
        <v>#REF!</v>
      </c>
    </row>
    <row r="248" spans="16374:16374">
      <c r="XET248" t="e">
        <f>INDEX(GeneralMaster!#REF!,0,2)</f>
        <v>#REF!</v>
      </c>
    </row>
    <row r="249" spans="16374:16374">
      <c r="XET249" t="e">
        <f>INDEX(GeneralMaster!#REF!,0,2)</f>
        <v>#REF!</v>
      </c>
    </row>
    <row r="250" spans="16374:16374">
      <c r="XET250" t="e">
        <f>INDEX(GeneralMaster!#REF!,0,2)</f>
        <v>#REF!</v>
      </c>
    </row>
    <row r="251" spans="16374:16374">
      <c r="XET251" t="e">
        <f>INDEX(GeneralMaster!#REF!,0,2)</f>
        <v>#REF!</v>
      </c>
    </row>
    <row r="252" spans="16374:16374">
      <c r="XET252" t="e">
        <f>INDEX(GeneralMaster!#REF!,0,2)</f>
        <v>#REF!</v>
      </c>
    </row>
    <row r="253" spans="16374:16374">
      <c r="XET253" t="e">
        <f>INDEX(GeneralMaster!#REF!,0,2)</f>
        <v>#REF!</v>
      </c>
    </row>
    <row r="254" spans="16374:16374">
      <c r="XET254" t="e">
        <f>INDEX(GeneralMaster!#REF!,0,2)</f>
        <v>#REF!</v>
      </c>
    </row>
    <row r="255" spans="16374:16374">
      <c r="XET255" t="e">
        <f>INDEX(GeneralMaster!#REF!,0,2)</f>
        <v>#REF!</v>
      </c>
    </row>
    <row r="256" spans="16374:16374">
      <c r="XET256" t="e">
        <f>INDEX(GeneralMaster!#REF!,0,2)</f>
        <v>#REF!</v>
      </c>
    </row>
    <row r="257" spans="16374:16374">
      <c r="XET257" t="e">
        <f>INDEX(GeneralMaster!#REF!,0,2)</f>
        <v>#REF!</v>
      </c>
    </row>
    <row r="258" spans="16374:16374">
      <c r="XET258" t="e">
        <f>INDEX(GeneralMaster!#REF!,0,2)</f>
        <v>#REF!</v>
      </c>
    </row>
    <row r="259" spans="16374:16374">
      <c r="XET259" t="e">
        <f>INDEX(GeneralMaster!#REF!,0,2)</f>
        <v>#REF!</v>
      </c>
    </row>
    <row r="260" spans="16374:16374">
      <c r="XET260" t="e">
        <f>INDEX(GeneralMaster!#REF!,0,2)</f>
        <v>#REF!</v>
      </c>
    </row>
    <row r="261" spans="16374:16374">
      <c r="XET261" t="e">
        <f>INDEX(GeneralMaster!#REF!,0,2)</f>
        <v>#REF!</v>
      </c>
    </row>
    <row r="262" spans="16374:16374">
      <c r="XET262" t="e">
        <f>INDEX(GeneralMaster!#REF!,0,2)</f>
        <v>#REF!</v>
      </c>
    </row>
    <row r="263" spans="16374:16374">
      <c r="XET263" t="e">
        <f>INDEX(GeneralMaster!#REF!,0,2)</f>
        <v>#REF!</v>
      </c>
    </row>
    <row r="264" spans="16374:16374">
      <c r="XET264" t="e">
        <f>INDEX(GeneralMaster!#REF!,0,2)</f>
        <v>#REF!</v>
      </c>
    </row>
    <row r="265" spans="16374:16374">
      <c r="XET265" t="e">
        <f>INDEX(GeneralMaster!#REF!,0,2)</f>
        <v>#REF!</v>
      </c>
    </row>
    <row r="266" spans="16374:16374">
      <c r="XET266" t="e">
        <f>INDEX(GeneralMaster!#REF!,0,2)</f>
        <v>#REF!</v>
      </c>
    </row>
    <row r="267" spans="16374:16374">
      <c r="XET267" t="e">
        <f>INDEX(GeneralMaster!#REF!,0,2)</f>
        <v>#REF!</v>
      </c>
    </row>
    <row r="268" spans="16374:16374">
      <c r="XET268" t="e">
        <f>INDEX(GeneralMaster!#REF!,0,2)</f>
        <v>#REF!</v>
      </c>
    </row>
    <row r="269" spans="16374:16374">
      <c r="XET269" t="e">
        <f>INDEX(GeneralMaster!#REF!,0,2)</f>
        <v>#REF!</v>
      </c>
    </row>
    <row r="270" spans="16374:16374">
      <c r="XET270" t="e">
        <f>INDEX(GeneralMaster!#REF!,0,2)</f>
        <v>#REF!</v>
      </c>
    </row>
    <row r="271" spans="16374:16374">
      <c r="XET271" t="e">
        <f>INDEX(GeneralMaster!#REF!,0,2)</f>
        <v>#REF!</v>
      </c>
    </row>
    <row r="272" spans="16374:16374">
      <c r="XET272" t="e">
        <f>INDEX(GeneralMaster!#REF!,0,2)</f>
        <v>#REF!</v>
      </c>
    </row>
    <row r="273" spans="16374:16374">
      <c r="XET273" t="e">
        <f>INDEX(GeneralMaster!#REF!,0,2)</f>
        <v>#REF!</v>
      </c>
    </row>
    <row r="274" spans="16374:16374">
      <c r="XET274" t="e">
        <f>INDEX(GeneralMaster!#REF!,0,2)</f>
        <v>#REF!</v>
      </c>
    </row>
    <row r="275" spans="16374:16374">
      <c r="XET275" t="e">
        <f>INDEX(GeneralMaster!#REF!,0,2)</f>
        <v>#REF!</v>
      </c>
    </row>
    <row r="276" spans="16374:16374">
      <c r="XET276" t="e">
        <f>INDEX(GeneralMaster!#REF!,0,2)</f>
        <v>#REF!</v>
      </c>
    </row>
    <row r="277" spans="16374:16374">
      <c r="XET277" t="e">
        <f>INDEX(GeneralMaster!#REF!,0,2)</f>
        <v>#REF!</v>
      </c>
    </row>
    <row r="278" spans="16374:16374">
      <c r="XET278" t="e">
        <f>INDEX(GeneralMaster!#REF!,0,2)</f>
        <v>#REF!</v>
      </c>
    </row>
    <row r="279" spans="16374:16374">
      <c r="XET279" t="e">
        <f>INDEX(GeneralMaster!#REF!,0,2)</f>
        <v>#REF!</v>
      </c>
    </row>
    <row r="280" spans="16374:16374">
      <c r="XET280" t="e">
        <f>INDEX(GeneralMaster!#REF!,0,2)</f>
        <v>#REF!</v>
      </c>
    </row>
    <row r="281" spans="16374:16374">
      <c r="XET281" t="e">
        <f>INDEX(GeneralMaster!#REF!,0,2)</f>
        <v>#REF!</v>
      </c>
    </row>
    <row r="282" spans="16374:16374">
      <c r="XET282" t="e">
        <f>INDEX(GeneralMaster!#REF!,0,2)</f>
        <v>#REF!</v>
      </c>
    </row>
    <row r="283" spans="16374:16374">
      <c r="XET283" t="e">
        <f>INDEX(GeneralMaster!#REF!,0,2)</f>
        <v>#REF!</v>
      </c>
    </row>
    <row r="284" spans="16374:16374">
      <c r="XET284" t="e">
        <f>INDEX(GeneralMaster!#REF!,0,2)</f>
        <v>#REF!</v>
      </c>
    </row>
    <row r="285" spans="16374:16374">
      <c r="XET285" t="e">
        <f>INDEX(GeneralMaster!#REF!,0,2)</f>
        <v>#REF!</v>
      </c>
    </row>
    <row r="286" spans="16374:16374">
      <c r="XET286" t="e">
        <f>INDEX(GeneralMaster!#REF!,0,2)</f>
        <v>#REF!</v>
      </c>
    </row>
    <row r="287" spans="16374:16374">
      <c r="XET287" t="e">
        <f>INDEX(GeneralMaster!#REF!,0,2)</f>
        <v>#REF!</v>
      </c>
    </row>
    <row r="288" spans="16374:16374">
      <c r="XET288" t="e">
        <f>INDEX(GeneralMaster!#REF!,0,2)</f>
        <v>#REF!</v>
      </c>
    </row>
    <row r="289" spans="16374:16374">
      <c r="XET289" t="e">
        <f>INDEX(GeneralMaster!#REF!,0,2)</f>
        <v>#REF!</v>
      </c>
    </row>
    <row r="290" spans="16374:16374">
      <c r="XET290" t="e">
        <f>INDEX(GeneralMaster!#REF!,0,2)</f>
        <v>#REF!</v>
      </c>
    </row>
    <row r="291" spans="16374:16374">
      <c r="XET291" t="e">
        <f>INDEX(GeneralMaster!#REF!,0,2)</f>
        <v>#REF!</v>
      </c>
    </row>
    <row r="292" spans="16374:16374">
      <c r="XET292" t="e">
        <f>INDEX(GeneralMaster!#REF!,0,2)</f>
        <v>#REF!</v>
      </c>
    </row>
    <row r="293" spans="16374:16374">
      <c r="XET293" t="e">
        <f>INDEX(GeneralMaster!#REF!,0,2)</f>
        <v>#REF!</v>
      </c>
    </row>
    <row r="294" spans="16374:16374">
      <c r="XET294" t="e">
        <f>INDEX(GeneralMaster!#REF!,0,2)</f>
        <v>#REF!</v>
      </c>
    </row>
    <row r="295" spans="16374:16374">
      <c r="XET295" t="e">
        <f>INDEX(GeneralMaster!#REF!,0,2)</f>
        <v>#REF!</v>
      </c>
    </row>
    <row r="296" spans="16374:16374">
      <c r="XET296" t="e">
        <f>INDEX(GeneralMaster!#REF!,0,2)</f>
        <v>#REF!</v>
      </c>
    </row>
    <row r="297" spans="16374:16374">
      <c r="XET297" t="e">
        <f>INDEX(GeneralMaster!#REF!,0,2)</f>
        <v>#REF!</v>
      </c>
    </row>
    <row r="298" spans="16374:16374">
      <c r="XET298" t="e">
        <f>INDEX(GeneralMaster!#REF!,0,2)</f>
        <v>#REF!</v>
      </c>
    </row>
    <row r="299" spans="16374:16374">
      <c r="XET299" t="e">
        <f>INDEX(GeneralMaster!#REF!,0,2)</f>
        <v>#REF!</v>
      </c>
    </row>
    <row r="300" spans="16374:16374">
      <c r="XET300" t="e">
        <f>INDEX(GeneralMaster!#REF!,0,2)</f>
        <v>#REF!</v>
      </c>
    </row>
    <row r="301" spans="16374:16374">
      <c r="XET301" t="e">
        <f>INDEX(GeneralMaster!#REF!,0,2)</f>
        <v>#REF!</v>
      </c>
    </row>
    <row r="302" spans="16374:16374">
      <c r="XET302" t="e">
        <f>INDEX(GeneralMaster!#REF!,0,2)</f>
        <v>#REF!</v>
      </c>
    </row>
    <row r="303" spans="16374:16374">
      <c r="XET303" t="e">
        <f>INDEX(GeneralMaster!#REF!,0,2)</f>
        <v>#REF!</v>
      </c>
    </row>
    <row r="304" spans="16374:16374">
      <c r="XET304" t="e">
        <f>INDEX(GeneralMaster!#REF!,0,2)</f>
        <v>#REF!</v>
      </c>
    </row>
    <row r="305" spans="16374:16374">
      <c r="XET305" t="e">
        <f>INDEX(GeneralMaster!#REF!,0,2)</f>
        <v>#REF!</v>
      </c>
    </row>
    <row r="306" spans="16374:16374">
      <c r="XET306" t="e">
        <f>INDEX(GeneralMaster!#REF!,0,2)</f>
        <v>#REF!</v>
      </c>
    </row>
    <row r="307" spans="16374:16374">
      <c r="XET307" t="e">
        <f>INDEX(GeneralMaster!#REF!,0,2)</f>
        <v>#REF!</v>
      </c>
    </row>
    <row r="308" spans="16374:16374">
      <c r="XET308" t="e">
        <f>INDEX(GeneralMaster!#REF!,0,2)</f>
        <v>#REF!</v>
      </c>
    </row>
    <row r="309" spans="16374:16374">
      <c r="XET309" t="e">
        <f>INDEX(GeneralMaster!#REF!,0,2)</f>
        <v>#REF!</v>
      </c>
    </row>
    <row r="310" spans="16374:16374">
      <c r="XET310" t="e">
        <f>INDEX(GeneralMaster!#REF!,0,2)</f>
        <v>#REF!</v>
      </c>
    </row>
    <row r="311" spans="16374:16374">
      <c r="XET311" t="e">
        <f>INDEX(GeneralMaster!#REF!,0,2)</f>
        <v>#REF!</v>
      </c>
    </row>
    <row r="312" spans="16374:16374">
      <c r="XET312" t="e">
        <f>INDEX(GeneralMaster!#REF!,0,2)</f>
        <v>#REF!</v>
      </c>
    </row>
    <row r="313" spans="16374:16374">
      <c r="XET313" t="e">
        <f>INDEX(GeneralMaster!#REF!,0,2)</f>
        <v>#REF!</v>
      </c>
    </row>
    <row r="314" spans="16374:16374">
      <c r="XET314" t="e">
        <f>INDEX(GeneralMaster!#REF!,0,2)</f>
        <v>#REF!</v>
      </c>
    </row>
    <row r="315" spans="16374:16374">
      <c r="XET315" t="e">
        <f>INDEX(GeneralMaster!#REF!,0,2)</f>
        <v>#REF!</v>
      </c>
    </row>
    <row r="316" spans="16374:16374">
      <c r="XET316" t="e">
        <f>INDEX(GeneralMaster!#REF!,0,2)</f>
        <v>#REF!</v>
      </c>
    </row>
    <row r="317" spans="16374:16374">
      <c r="XET317" t="e">
        <f>INDEX(GeneralMaster!#REF!,0,2)</f>
        <v>#REF!</v>
      </c>
    </row>
    <row r="318" spans="16374:16374">
      <c r="XET318" t="e">
        <f>INDEX(GeneralMaster!#REF!,0,2)</f>
        <v>#REF!</v>
      </c>
    </row>
    <row r="319" spans="16374:16374">
      <c r="XET319" t="e">
        <f>INDEX(GeneralMaster!#REF!,0,2)</f>
        <v>#REF!</v>
      </c>
    </row>
    <row r="320" spans="16374:16374">
      <c r="XET320" t="e">
        <f>INDEX(GeneralMaster!#REF!,0,2)</f>
        <v>#REF!</v>
      </c>
    </row>
    <row r="321" spans="16374:16374">
      <c r="XET321" t="e">
        <f>INDEX(GeneralMaster!#REF!,0,2)</f>
        <v>#REF!</v>
      </c>
    </row>
    <row r="322" spans="16374:16374">
      <c r="XET322" t="e">
        <f>INDEX(GeneralMaster!#REF!,0,2)</f>
        <v>#REF!</v>
      </c>
    </row>
    <row r="323" spans="16374:16374">
      <c r="XET323" t="e">
        <f>INDEX(GeneralMaster!#REF!,0,2)</f>
        <v>#REF!</v>
      </c>
    </row>
    <row r="324" spans="16374:16374">
      <c r="XET324" t="e">
        <f>INDEX(GeneralMaster!#REF!,0,2)</f>
        <v>#REF!</v>
      </c>
    </row>
    <row r="325" spans="16374:16374">
      <c r="XET325" t="e">
        <f>INDEX(GeneralMaster!#REF!,0,2)</f>
        <v>#REF!</v>
      </c>
    </row>
    <row r="326" spans="16374:16374">
      <c r="XET326" t="e">
        <f>INDEX(GeneralMaster!#REF!,0,2)</f>
        <v>#REF!</v>
      </c>
    </row>
    <row r="327" spans="16374:16374">
      <c r="XET327" t="e">
        <f>INDEX(GeneralMaster!#REF!,0,2)</f>
        <v>#REF!</v>
      </c>
    </row>
    <row r="328" spans="16374:16374">
      <c r="XET328" t="e">
        <f>INDEX(GeneralMaster!#REF!,0,2)</f>
        <v>#REF!</v>
      </c>
    </row>
    <row r="329" spans="16374:16374">
      <c r="XET329" t="e">
        <f>INDEX(GeneralMaster!#REF!,0,2)</f>
        <v>#REF!</v>
      </c>
    </row>
    <row r="330" spans="16374:16374">
      <c r="XET330" t="e">
        <f>INDEX(GeneralMaster!#REF!,0,2)</f>
        <v>#REF!</v>
      </c>
    </row>
    <row r="331" spans="16374:16374">
      <c r="XET331" t="e">
        <f>INDEX(GeneralMaster!#REF!,0,2)</f>
        <v>#REF!</v>
      </c>
    </row>
    <row r="332" spans="16374:16374">
      <c r="XET332" t="e">
        <f>INDEX(GeneralMaster!#REF!,0,2)</f>
        <v>#REF!</v>
      </c>
    </row>
    <row r="333" spans="16374:16374">
      <c r="XET333" t="e">
        <f>INDEX(GeneralMaster!#REF!,0,2)</f>
        <v>#REF!</v>
      </c>
    </row>
    <row r="334" spans="16374:16374">
      <c r="XET334" t="e">
        <f>INDEX(GeneralMaster!#REF!,0,2)</f>
        <v>#REF!</v>
      </c>
    </row>
    <row r="335" spans="16374:16374">
      <c r="XET335" t="e">
        <f>INDEX(GeneralMaster!#REF!,0,2)</f>
        <v>#REF!</v>
      </c>
    </row>
    <row r="336" spans="16374:16374">
      <c r="XET336" t="e">
        <f>INDEX(GeneralMaster!#REF!,0,2)</f>
        <v>#REF!</v>
      </c>
    </row>
    <row r="337" spans="16374:16374">
      <c r="XET337" t="e">
        <f>INDEX(GeneralMaster!#REF!,0,2)</f>
        <v>#REF!</v>
      </c>
    </row>
    <row r="338" spans="16374:16374">
      <c r="XET338" t="e">
        <f>INDEX(GeneralMaster!#REF!,0,2)</f>
        <v>#REF!</v>
      </c>
    </row>
    <row r="339" spans="16374:16374">
      <c r="XET339" t="e">
        <f>INDEX(GeneralMaster!#REF!,0,2)</f>
        <v>#REF!</v>
      </c>
    </row>
    <row r="340" spans="16374:16374">
      <c r="XET340" t="e">
        <f>INDEX(GeneralMaster!#REF!,0,2)</f>
        <v>#REF!</v>
      </c>
    </row>
    <row r="341" spans="16374:16374">
      <c r="XET341" t="e">
        <f>INDEX(GeneralMaster!#REF!,0,2)</f>
        <v>#REF!</v>
      </c>
    </row>
    <row r="342" spans="16374:16374">
      <c r="XET342" t="e">
        <f>INDEX(GeneralMaster!#REF!,0,2)</f>
        <v>#REF!</v>
      </c>
    </row>
    <row r="343" spans="16374:16374">
      <c r="XET343" t="e">
        <f>INDEX(GeneralMaster!#REF!,0,2)</f>
        <v>#REF!</v>
      </c>
    </row>
    <row r="344" spans="16374:16374">
      <c r="XET344" t="e">
        <f>INDEX(GeneralMaster!#REF!,0,2)</f>
        <v>#REF!</v>
      </c>
    </row>
    <row r="345" spans="16374:16374">
      <c r="XET345" t="e">
        <f>INDEX(GeneralMaster!#REF!,0,2)</f>
        <v>#REF!</v>
      </c>
    </row>
    <row r="346" spans="16374:16374">
      <c r="XET346" t="e">
        <f>INDEX(GeneralMaster!#REF!,0,2)</f>
        <v>#REF!</v>
      </c>
    </row>
    <row r="347" spans="16374:16374">
      <c r="XET347" t="e">
        <f>INDEX(GeneralMaster!#REF!,0,2)</f>
        <v>#REF!</v>
      </c>
    </row>
    <row r="348" spans="16374:16374">
      <c r="XET348" t="e">
        <f>INDEX(GeneralMaster!#REF!,0,2)</f>
        <v>#REF!</v>
      </c>
    </row>
    <row r="349" spans="16374:16374">
      <c r="XET349" t="e">
        <f>INDEX(GeneralMaster!#REF!,0,2)</f>
        <v>#REF!</v>
      </c>
    </row>
    <row r="350" spans="16374:16374">
      <c r="XET350" t="e">
        <f>INDEX(GeneralMaster!#REF!,0,2)</f>
        <v>#REF!</v>
      </c>
    </row>
    <row r="351" spans="16374:16374">
      <c r="XET351" t="e">
        <f>INDEX(GeneralMaster!#REF!,0,2)</f>
        <v>#REF!</v>
      </c>
    </row>
    <row r="352" spans="16374:16374">
      <c r="XET352" t="e">
        <f>INDEX(GeneralMaster!#REF!,0,2)</f>
        <v>#REF!</v>
      </c>
    </row>
    <row r="353" spans="16374:16374">
      <c r="XET353" t="e">
        <f>INDEX(GeneralMaster!#REF!,0,2)</f>
        <v>#REF!</v>
      </c>
    </row>
    <row r="354" spans="16374:16374">
      <c r="XET354" t="e">
        <f>INDEX(GeneralMaster!#REF!,0,2)</f>
        <v>#REF!</v>
      </c>
    </row>
    <row r="355" spans="16374:16374">
      <c r="XET355" t="e">
        <f>INDEX(GeneralMaster!#REF!,0,2)</f>
        <v>#REF!</v>
      </c>
    </row>
    <row r="356" spans="16374:16374">
      <c r="XET356" t="e">
        <f>INDEX(GeneralMaster!#REF!,0,2)</f>
        <v>#REF!</v>
      </c>
    </row>
    <row r="357" spans="16374:16374">
      <c r="XET357" t="e">
        <f>INDEX(GeneralMaster!#REF!,0,2)</f>
        <v>#REF!</v>
      </c>
    </row>
    <row r="358" spans="16374:16374">
      <c r="XET358" t="e">
        <f>INDEX(GeneralMaster!#REF!,0,2)</f>
        <v>#REF!</v>
      </c>
    </row>
    <row r="359" spans="16374:16374">
      <c r="XET359" t="e">
        <f>INDEX(GeneralMaster!#REF!,0,2)</f>
        <v>#REF!</v>
      </c>
    </row>
    <row r="360" spans="16374:16374">
      <c r="XET360" t="e">
        <f>INDEX(GeneralMaster!#REF!,0,2)</f>
        <v>#REF!</v>
      </c>
    </row>
    <row r="361" spans="16374:16374">
      <c r="XET361" t="e">
        <f>INDEX(GeneralMaster!#REF!,0,2)</f>
        <v>#REF!</v>
      </c>
    </row>
    <row r="362" spans="16374:16374">
      <c r="XET362" t="e">
        <f>INDEX(GeneralMaster!#REF!,0,2)</f>
        <v>#REF!</v>
      </c>
    </row>
    <row r="363" spans="16374:16374">
      <c r="XET363" t="e">
        <f>INDEX(GeneralMaster!#REF!,0,2)</f>
        <v>#REF!</v>
      </c>
    </row>
    <row r="364" spans="16374:16374">
      <c r="XET364" t="e">
        <f>INDEX(GeneralMaster!#REF!,0,2)</f>
        <v>#REF!</v>
      </c>
    </row>
    <row r="365" spans="16374:16374">
      <c r="XET365" t="e">
        <f>INDEX(GeneralMaster!#REF!,0,2)</f>
        <v>#REF!</v>
      </c>
    </row>
    <row r="366" spans="16374:16374">
      <c r="XET366" t="e">
        <f>INDEX(GeneralMaster!#REF!,0,2)</f>
        <v>#REF!</v>
      </c>
    </row>
    <row r="367" spans="16374:16374">
      <c r="XET367" t="e">
        <f>INDEX(GeneralMaster!#REF!,0,2)</f>
        <v>#REF!</v>
      </c>
    </row>
    <row r="368" spans="16374:16374">
      <c r="XET368" t="e">
        <f>INDEX(GeneralMaster!#REF!,0,2)</f>
        <v>#REF!</v>
      </c>
    </row>
    <row r="369" spans="16374:16374">
      <c r="XET369" t="e">
        <f>INDEX(GeneralMaster!#REF!,0,2)</f>
        <v>#REF!</v>
      </c>
    </row>
    <row r="370" spans="16374:16374">
      <c r="XET370" t="e">
        <f>INDEX(GeneralMaster!#REF!,0,2)</f>
        <v>#REF!</v>
      </c>
    </row>
    <row r="371" spans="16374:16374">
      <c r="XET371" t="e">
        <f>INDEX(GeneralMaster!#REF!,0,2)</f>
        <v>#REF!</v>
      </c>
    </row>
    <row r="372" spans="16374:16374">
      <c r="XET372" t="e">
        <f>INDEX(GeneralMaster!#REF!,0,2)</f>
        <v>#REF!</v>
      </c>
    </row>
    <row r="373" spans="16374:16374">
      <c r="XET373" t="e">
        <f>INDEX(GeneralMaster!#REF!,0,2)</f>
        <v>#REF!</v>
      </c>
    </row>
    <row r="374" spans="16374:16374">
      <c r="XET374" t="e">
        <f>INDEX(GeneralMaster!#REF!,0,2)</f>
        <v>#REF!</v>
      </c>
    </row>
    <row r="375" spans="16374:16374">
      <c r="XET375" t="e">
        <f>INDEX(GeneralMaster!#REF!,0,2)</f>
        <v>#REF!</v>
      </c>
    </row>
    <row r="376" spans="16374:16374">
      <c r="XET376" t="e">
        <f>INDEX(GeneralMaster!#REF!,0,2)</f>
        <v>#REF!</v>
      </c>
    </row>
    <row r="377" spans="16374:16374">
      <c r="XET377" t="e">
        <f>INDEX(GeneralMaster!#REF!,0,2)</f>
        <v>#REF!</v>
      </c>
    </row>
    <row r="378" spans="16374:16374">
      <c r="XET378" t="e">
        <f>INDEX(GeneralMaster!#REF!,0,2)</f>
        <v>#REF!</v>
      </c>
    </row>
    <row r="379" spans="16374:16374">
      <c r="XET379" t="e">
        <f>INDEX(GeneralMaster!#REF!,0,2)</f>
        <v>#REF!</v>
      </c>
    </row>
    <row r="380" spans="16374:16374">
      <c r="XET380" t="e">
        <f>INDEX(GeneralMaster!#REF!,0,2)</f>
        <v>#REF!</v>
      </c>
    </row>
    <row r="381" spans="16374:16374">
      <c r="XET381" t="e">
        <f>INDEX(GeneralMaster!#REF!,0,2)</f>
        <v>#REF!</v>
      </c>
    </row>
    <row r="382" spans="16374:16374">
      <c r="XET382" t="e">
        <f>INDEX(GeneralMaster!#REF!,0,2)</f>
        <v>#REF!</v>
      </c>
    </row>
    <row r="383" spans="16374:16374">
      <c r="XET383" t="e">
        <f>INDEX(GeneralMaster!#REF!,0,2)</f>
        <v>#REF!</v>
      </c>
    </row>
    <row r="384" spans="16374:16374">
      <c r="XET384" t="e">
        <f>INDEX(GeneralMaster!#REF!,0,2)</f>
        <v>#REF!</v>
      </c>
    </row>
    <row r="385" spans="16374:16374">
      <c r="XET385" t="e">
        <f>INDEX(GeneralMaster!#REF!,0,2)</f>
        <v>#REF!</v>
      </c>
    </row>
    <row r="386" spans="16374:16374">
      <c r="XET386" t="e">
        <f>INDEX(GeneralMaster!#REF!,0,2)</f>
        <v>#REF!</v>
      </c>
    </row>
    <row r="387" spans="16374:16374">
      <c r="XET387" t="e">
        <f>INDEX(GeneralMaster!#REF!,0,2)</f>
        <v>#REF!</v>
      </c>
    </row>
    <row r="388" spans="16374:16374">
      <c r="XET388" t="e">
        <f>INDEX(GeneralMaster!#REF!,0,2)</f>
        <v>#REF!</v>
      </c>
    </row>
    <row r="389" spans="16374:16374">
      <c r="XET389" t="e">
        <f>INDEX(GeneralMaster!#REF!,0,2)</f>
        <v>#REF!</v>
      </c>
    </row>
    <row r="390" spans="16374:16374">
      <c r="XET390" t="e">
        <f>INDEX(GeneralMaster!#REF!,0,2)</f>
        <v>#REF!</v>
      </c>
    </row>
    <row r="391" spans="16374:16374">
      <c r="XET391" t="e">
        <f>INDEX(GeneralMaster!#REF!,0,2)</f>
        <v>#REF!</v>
      </c>
    </row>
    <row r="392" spans="16374:16374">
      <c r="XET392" t="e">
        <f>INDEX(GeneralMaster!#REF!,0,2)</f>
        <v>#REF!</v>
      </c>
    </row>
    <row r="393" spans="16374:16374">
      <c r="XET393" t="e">
        <f>INDEX(GeneralMaster!#REF!,0,2)</f>
        <v>#REF!</v>
      </c>
    </row>
    <row r="394" spans="16374:16374">
      <c r="XET394" t="e">
        <f>INDEX(GeneralMaster!#REF!,0,2)</f>
        <v>#REF!</v>
      </c>
    </row>
    <row r="395" spans="16374:16374">
      <c r="XET395" t="e">
        <f>INDEX(GeneralMaster!#REF!,0,2)</f>
        <v>#REF!</v>
      </c>
    </row>
    <row r="396" spans="16374:16374">
      <c r="XET396" t="e">
        <f>INDEX(GeneralMaster!#REF!,0,2)</f>
        <v>#REF!</v>
      </c>
    </row>
    <row r="397" spans="16374:16374">
      <c r="XET397" t="e">
        <f>INDEX(GeneralMaster!#REF!,0,2)</f>
        <v>#REF!</v>
      </c>
    </row>
    <row r="398" spans="16374:16374">
      <c r="XET398" t="e">
        <f>INDEX(GeneralMaster!#REF!,0,2)</f>
        <v>#REF!</v>
      </c>
    </row>
    <row r="399" spans="16374:16374">
      <c r="XET399" t="e">
        <f>INDEX(GeneralMaster!#REF!,0,2)</f>
        <v>#REF!</v>
      </c>
    </row>
    <row r="400" spans="16374:16374">
      <c r="XET400" t="e">
        <f>INDEX(GeneralMaster!#REF!,0,2)</f>
        <v>#REF!</v>
      </c>
    </row>
    <row r="401" spans="16374:16374">
      <c r="XET401" t="e">
        <f>INDEX(GeneralMaster!#REF!,0,2)</f>
        <v>#REF!</v>
      </c>
    </row>
    <row r="402" spans="16374:16374">
      <c r="XET402" t="e">
        <f>INDEX(GeneralMaster!#REF!,0,2)</f>
        <v>#REF!</v>
      </c>
    </row>
    <row r="403" spans="16374:16374">
      <c r="XET403" t="e">
        <f>INDEX(GeneralMaster!#REF!,0,2)</f>
        <v>#REF!</v>
      </c>
    </row>
    <row r="404" spans="16374:16374">
      <c r="XET404" t="e">
        <f>INDEX(GeneralMaster!#REF!,0,2)</f>
        <v>#REF!</v>
      </c>
    </row>
    <row r="405" spans="16374:16374">
      <c r="XET405" t="e">
        <f>INDEX(GeneralMaster!#REF!,0,2)</f>
        <v>#REF!</v>
      </c>
    </row>
    <row r="406" spans="16374:16374">
      <c r="XET406" t="e">
        <f>INDEX(GeneralMaster!#REF!,0,2)</f>
        <v>#REF!</v>
      </c>
    </row>
    <row r="407" spans="16374:16374">
      <c r="XET407" t="e">
        <f>INDEX(GeneralMaster!#REF!,0,2)</f>
        <v>#REF!</v>
      </c>
    </row>
    <row r="408" spans="16374:16374">
      <c r="XET408" t="e">
        <f>INDEX(GeneralMaster!#REF!,0,2)</f>
        <v>#REF!</v>
      </c>
    </row>
    <row r="409" spans="16374:16374">
      <c r="XET409" t="e">
        <f>INDEX(GeneralMaster!#REF!,0,2)</f>
        <v>#REF!</v>
      </c>
    </row>
    <row r="410" spans="16374:16374">
      <c r="XET410" t="e">
        <f>INDEX(GeneralMaster!#REF!,0,2)</f>
        <v>#REF!</v>
      </c>
    </row>
    <row r="411" spans="16374:16374">
      <c r="XET411" t="e">
        <f>INDEX(GeneralMaster!#REF!,0,2)</f>
        <v>#REF!</v>
      </c>
    </row>
    <row r="412" spans="16374:16374">
      <c r="XET412" t="e">
        <f>INDEX(GeneralMaster!#REF!,0,2)</f>
        <v>#REF!</v>
      </c>
    </row>
    <row r="413" spans="16374:16374">
      <c r="XET413" t="e">
        <f>INDEX(GeneralMaster!#REF!,0,2)</f>
        <v>#REF!</v>
      </c>
    </row>
    <row r="414" spans="16374:16374">
      <c r="XET414" t="e">
        <f>INDEX(GeneralMaster!#REF!,0,2)</f>
        <v>#REF!</v>
      </c>
    </row>
    <row r="415" spans="16374:16374">
      <c r="XET415" t="e">
        <f>INDEX(GeneralMaster!#REF!,0,2)</f>
        <v>#REF!</v>
      </c>
    </row>
    <row r="416" spans="16374:16374">
      <c r="XET416" t="e">
        <f>INDEX(GeneralMaster!#REF!,0,2)</f>
        <v>#REF!</v>
      </c>
    </row>
    <row r="417" spans="16374:16374">
      <c r="XET417" t="e">
        <f>INDEX(GeneralMaster!#REF!,0,2)</f>
        <v>#REF!</v>
      </c>
    </row>
    <row r="418" spans="16374:16374">
      <c r="XET418" t="e">
        <f>INDEX(GeneralMaster!#REF!,0,2)</f>
        <v>#REF!</v>
      </c>
    </row>
    <row r="419" spans="16374:16374">
      <c r="XET419" t="e">
        <f>INDEX(GeneralMaster!#REF!,0,2)</f>
        <v>#REF!</v>
      </c>
    </row>
    <row r="420" spans="16374:16374">
      <c r="XET420" t="e">
        <f>INDEX(GeneralMaster!#REF!,0,2)</f>
        <v>#REF!</v>
      </c>
    </row>
    <row r="421" spans="16374:16374">
      <c r="XET421" t="e">
        <f>INDEX(GeneralMaster!#REF!,0,2)</f>
        <v>#REF!</v>
      </c>
    </row>
    <row r="422" spans="16374:16374">
      <c r="XET422" t="e">
        <f>INDEX(GeneralMaster!#REF!,0,2)</f>
        <v>#REF!</v>
      </c>
    </row>
    <row r="423" spans="16374:16374">
      <c r="XET423" t="e">
        <f>INDEX(GeneralMaster!#REF!,0,2)</f>
        <v>#REF!</v>
      </c>
    </row>
    <row r="424" spans="16374:16374">
      <c r="XET424" t="e">
        <f>INDEX(GeneralMaster!#REF!,0,2)</f>
        <v>#REF!</v>
      </c>
    </row>
    <row r="425" spans="16374:16374">
      <c r="XET425" t="e">
        <f>INDEX(GeneralMaster!#REF!,0,2)</f>
        <v>#REF!</v>
      </c>
    </row>
    <row r="426" spans="16374:16374">
      <c r="XET426" t="e">
        <f>INDEX(GeneralMaster!#REF!,0,2)</f>
        <v>#REF!</v>
      </c>
    </row>
    <row r="427" spans="16374:16374">
      <c r="XET427" t="e">
        <f>INDEX(GeneralMaster!#REF!,0,2)</f>
        <v>#REF!</v>
      </c>
    </row>
    <row r="428" spans="16374:16374">
      <c r="XET428" t="e">
        <f>INDEX(GeneralMaster!#REF!,0,2)</f>
        <v>#REF!</v>
      </c>
    </row>
    <row r="429" spans="16374:16374">
      <c r="XET429" t="e">
        <f>INDEX(GeneralMaster!#REF!,0,2)</f>
        <v>#REF!</v>
      </c>
    </row>
    <row r="430" spans="16374:16374">
      <c r="XET430" t="e">
        <f>INDEX(GeneralMaster!#REF!,0,2)</f>
        <v>#REF!</v>
      </c>
    </row>
    <row r="431" spans="16374:16374">
      <c r="XET431" t="e">
        <f>INDEX(GeneralMaster!#REF!,0,2)</f>
        <v>#REF!</v>
      </c>
    </row>
    <row r="432" spans="16374:16374">
      <c r="XET432" t="e">
        <f>INDEX(GeneralMaster!#REF!,0,2)</f>
        <v>#REF!</v>
      </c>
    </row>
    <row r="433" spans="16374:16374">
      <c r="XET433" t="e">
        <f>INDEX(GeneralMaster!#REF!,0,2)</f>
        <v>#REF!</v>
      </c>
    </row>
    <row r="434" spans="16374:16374">
      <c r="XET434" t="e">
        <f>INDEX(GeneralMaster!#REF!,0,2)</f>
        <v>#REF!</v>
      </c>
    </row>
    <row r="435" spans="16374:16374">
      <c r="XET435" t="e">
        <f>INDEX(GeneralMaster!#REF!,0,2)</f>
        <v>#REF!</v>
      </c>
    </row>
    <row r="436" spans="16374:16374">
      <c r="XET436" t="e">
        <f>INDEX(GeneralMaster!#REF!,0,2)</f>
        <v>#REF!</v>
      </c>
    </row>
    <row r="437" spans="16374:16374">
      <c r="XET437" t="e">
        <f>INDEX(GeneralMaster!#REF!,0,2)</f>
        <v>#REF!</v>
      </c>
    </row>
    <row r="438" spans="16374:16374">
      <c r="XET438" t="e">
        <f>INDEX(GeneralMaster!#REF!,0,2)</f>
        <v>#REF!</v>
      </c>
    </row>
    <row r="439" spans="16374:16374">
      <c r="XET439" t="e">
        <f>INDEX(GeneralMaster!#REF!,0,2)</f>
        <v>#REF!</v>
      </c>
    </row>
    <row r="440" spans="16374:16374">
      <c r="XET440" t="e">
        <f>INDEX(GeneralMaster!#REF!,0,2)</f>
        <v>#REF!</v>
      </c>
    </row>
    <row r="441" spans="16374:16374">
      <c r="XET441" t="e">
        <f>INDEX(GeneralMaster!#REF!,0,2)</f>
        <v>#REF!</v>
      </c>
    </row>
    <row r="442" spans="16374:16374">
      <c r="XET442" t="e">
        <f>INDEX(GeneralMaster!#REF!,0,2)</f>
        <v>#REF!</v>
      </c>
    </row>
    <row r="443" spans="16374:16374">
      <c r="XET443" t="e">
        <f>INDEX(GeneralMaster!#REF!,0,2)</f>
        <v>#REF!</v>
      </c>
    </row>
    <row r="444" spans="16374:16374">
      <c r="XET444" t="e">
        <f>INDEX(GeneralMaster!#REF!,0,2)</f>
        <v>#REF!</v>
      </c>
    </row>
    <row r="445" spans="16374:16374">
      <c r="XET445" t="e">
        <f>INDEX(GeneralMaster!#REF!,0,2)</f>
        <v>#REF!</v>
      </c>
    </row>
    <row r="446" spans="16374:16374">
      <c r="XET446" t="e">
        <f>INDEX(GeneralMaster!#REF!,0,2)</f>
        <v>#REF!</v>
      </c>
    </row>
    <row r="447" spans="16374:16374">
      <c r="XET447" t="e">
        <f>INDEX(GeneralMaster!#REF!,0,2)</f>
        <v>#REF!</v>
      </c>
    </row>
    <row r="448" spans="16374:16374">
      <c r="XET448" t="e">
        <f>INDEX(GeneralMaster!#REF!,0,2)</f>
        <v>#REF!</v>
      </c>
    </row>
    <row r="449" spans="16374:16374">
      <c r="XET449" t="e">
        <f>INDEX(GeneralMaster!#REF!,0,2)</f>
        <v>#REF!</v>
      </c>
    </row>
    <row r="450" spans="16374:16374">
      <c r="XET450" t="e">
        <f>INDEX(GeneralMaster!#REF!,0,2)</f>
        <v>#REF!</v>
      </c>
    </row>
    <row r="451" spans="16374:16374">
      <c r="XET451" t="e">
        <f>INDEX(GeneralMaster!#REF!,0,2)</f>
        <v>#REF!</v>
      </c>
    </row>
    <row r="452" spans="16374:16374">
      <c r="XET452" t="e">
        <f>INDEX(GeneralMaster!#REF!,0,2)</f>
        <v>#REF!</v>
      </c>
    </row>
    <row r="453" spans="16374:16374">
      <c r="XET453" t="e">
        <f>INDEX(GeneralMaster!#REF!,0,2)</f>
        <v>#REF!</v>
      </c>
    </row>
    <row r="454" spans="16374:16374">
      <c r="XET454" t="e">
        <f>INDEX(GeneralMaster!#REF!,0,2)</f>
        <v>#REF!</v>
      </c>
    </row>
    <row r="455" spans="16374:16374">
      <c r="XET455" t="e">
        <f>INDEX(GeneralMaster!#REF!,0,2)</f>
        <v>#REF!</v>
      </c>
    </row>
    <row r="456" spans="16374:16374">
      <c r="XET456" t="e">
        <f>INDEX(GeneralMaster!#REF!,0,2)</f>
        <v>#REF!</v>
      </c>
    </row>
    <row r="457" spans="16374:16374">
      <c r="XET457" t="e">
        <f>INDEX(GeneralMaster!#REF!,0,2)</f>
        <v>#REF!</v>
      </c>
    </row>
    <row r="458" spans="16374:16374">
      <c r="XET458" t="e">
        <f>INDEX(GeneralMaster!#REF!,0,2)</f>
        <v>#REF!</v>
      </c>
    </row>
    <row r="459" spans="16374:16374">
      <c r="XET459" t="e">
        <f>INDEX(GeneralMaster!#REF!,0,2)</f>
        <v>#REF!</v>
      </c>
    </row>
    <row r="460" spans="16374:16374">
      <c r="XET460" t="e">
        <f>INDEX(GeneralMaster!#REF!,0,2)</f>
        <v>#REF!</v>
      </c>
    </row>
    <row r="461" spans="16374:16374">
      <c r="XET461" t="e">
        <f>INDEX(GeneralMaster!#REF!,0,2)</f>
        <v>#REF!</v>
      </c>
    </row>
    <row r="462" spans="16374:16374">
      <c r="XET462" t="e">
        <f>INDEX(GeneralMaster!#REF!,0,2)</f>
        <v>#REF!</v>
      </c>
    </row>
    <row r="463" spans="16374:16374">
      <c r="XET463" t="e">
        <f>INDEX(GeneralMaster!#REF!,0,2)</f>
        <v>#REF!</v>
      </c>
    </row>
    <row r="464" spans="16374:16374">
      <c r="XET464" t="e">
        <f>INDEX(GeneralMaster!#REF!,0,2)</f>
        <v>#REF!</v>
      </c>
    </row>
    <row r="465" spans="16374:16374">
      <c r="XET465" t="e">
        <f>INDEX(GeneralMaster!#REF!,0,2)</f>
        <v>#REF!</v>
      </c>
    </row>
    <row r="466" spans="16374:16374">
      <c r="XET466" t="e">
        <f>INDEX(GeneralMaster!#REF!,0,2)</f>
        <v>#REF!</v>
      </c>
    </row>
    <row r="467" spans="16374:16374">
      <c r="XET467" t="e">
        <f>INDEX(GeneralMaster!#REF!,0,2)</f>
        <v>#REF!</v>
      </c>
    </row>
    <row r="468" spans="16374:16374">
      <c r="XET468" t="e">
        <f>INDEX(GeneralMaster!#REF!,0,2)</f>
        <v>#REF!</v>
      </c>
    </row>
    <row r="469" spans="16374:16374">
      <c r="XET469" t="e">
        <f>INDEX(GeneralMaster!#REF!,0,2)</f>
        <v>#REF!</v>
      </c>
    </row>
    <row r="470" spans="16374:16374">
      <c r="XET470" t="e">
        <f>INDEX(GeneralMaster!#REF!,0,2)</f>
        <v>#REF!</v>
      </c>
    </row>
    <row r="471" spans="16374:16374">
      <c r="XET471" t="e">
        <f>INDEX(GeneralMaster!#REF!,0,2)</f>
        <v>#REF!</v>
      </c>
    </row>
    <row r="472" spans="16374:16374">
      <c r="XET472" t="e">
        <f>INDEX(GeneralMaster!#REF!,0,2)</f>
        <v>#REF!</v>
      </c>
    </row>
    <row r="473" spans="16374:16374">
      <c r="XET473" t="e">
        <f>INDEX(GeneralMaster!#REF!,0,2)</f>
        <v>#REF!</v>
      </c>
    </row>
    <row r="474" spans="16374:16374">
      <c r="XET474" t="e">
        <f>INDEX(GeneralMaster!#REF!,0,2)</f>
        <v>#REF!</v>
      </c>
    </row>
    <row r="475" spans="16374:16374">
      <c r="XET475" t="e">
        <f>INDEX(GeneralMaster!#REF!,0,2)</f>
        <v>#REF!</v>
      </c>
    </row>
    <row r="476" spans="16374:16374">
      <c r="XET476" t="e">
        <f>INDEX(GeneralMaster!#REF!,0,2)</f>
        <v>#REF!</v>
      </c>
    </row>
    <row r="477" spans="16374:16374">
      <c r="XET477" t="e">
        <f>INDEX(GeneralMaster!#REF!,0,2)</f>
        <v>#REF!</v>
      </c>
    </row>
    <row r="478" spans="16374:16374">
      <c r="XET478" t="e">
        <f>INDEX(GeneralMaster!#REF!,0,2)</f>
        <v>#REF!</v>
      </c>
    </row>
    <row r="479" spans="16374:16374">
      <c r="XET479" t="e">
        <f>INDEX(GeneralMaster!#REF!,0,2)</f>
        <v>#REF!</v>
      </c>
    </row>
    <row r="480" spans="16374:16374">
      <c r="XET480" t="e">
        <f>INDEX(GeneralMaster!#REF!,0,2)</f>
        <v>#REF!</v>
      </c>
    </row>
    <row r="481" spans="16374:16374">
      <c r="XET481" t="e">
        <f>INDEX(GeneralMaster!#REF!,0,2)</f>
        <v>#REF!</v>
      </c>
    </row>
    <row r="482" spans="16374:16374">
      <c r="XET482" t="e">
        <f>INDEX(GeneralMaster!#REF!,0,2)</f>
        <v>#REF!</v>
      </c>
    </row>
    <row r="483" spans="16374:16374">
      <c r="XET483" t="e">
        <f>INDEX(GeneralMaster!#REF!,0,2)</f>
        <v>#REF!</v>
      </c>
    </row>
    <row r="484" spans="16374:16374">
      <c r="XET484" t="e">
        <f>INDEX(GeneralMaster!#REF!,0,2)</f>
        <v>#REF!</v>
      </c>
    </row>
    <row r="485" spans="16374:16374">
      <c r="XET485" t="e">
        <f>INDEX(GeneralMaster!#REF!,0,2)</f>
        <v>#REF!</v>
      </c>
    </row>
    <row r="486" spans="16374:16374">
      <c r="XET486" t="e">
        <f>INDEX(GeneralMaster!#REF!,0,2)</f>
        <v>#REF!</v>
      </c>
    </row>
    <row r="487" spans="16374:16374">
      <c r="XET487" t="e">
        <f>INDEX(GeneralMaster!#REF!,0,2)</f>
        <v>#REF!</v>
      </c>
    </row>
    <row r="488" spans="16374:16374">
      <c r="XET488" t="e">
        <f>INDEX(GeneralMaster!#REF!,0,2)</f>
        <v>#REF!</v>
      </c>
    </row>
    <row r="489" spans="16374:16374">
      <c r="XET489" t="e">
        <f>INDEX(GeneralMaster!#REF!,0,2)</f>
        <v>#REF!</v>
      </c>
    </row>
    <row r="490" spans="16374:16374">
      <c r="XET490" t="e">
        <f>INDEX(GeneralMaster!#REF!,0,2)</f>
        <v>#REF!</v>
      </c>
    </row>
    <row r="491" spans="16374:16374">
      <c r="XET491" t="e">
        <f>INDEX(GeneralMaster!#REF!,0,2)</f>
        <v>#REF!</v>
      </c>
    </row>
    <row r="492" spans="16374:16374">
      <c r="XET492" t="e">
        <f>INDEX(GeneralMaster!#REF!,0,2)</f>
        <v>#REF!</v>
      </c>
    </row>
    <row r="493" spans="16374:16374">
      <c r="XET493" t="e">
        <f>INDEX(GeneralMaster!#REF!,0,2)</f>
        <v>#REF!</v>
      </c>
    </row>
    <row r="494" spans="16374:16374">
      <c r="XET494" t="e">
        <f>INDEX(GeneralMaster!#REF!,0,2)</f>
        <v>#REF!</v>
      </c>
    </row>
    <row r="495" spans="16374:16374">
      <c r="XET495" t="e">
        <f>INDEX(GeneralMaster!#REF!,0,2)</f>
        <v>#REF!</v>
      </c>
    </row>
    <row r="496" spans="16374:16374">
      <c r="XET496" t="e">
        <f>INDEX(GeneralMaster!#REF!,0,2)</f>
        <v>#REF!</v>
      </c>
    </row>
    <row r="497" spans="16374:16374">
      <c r="XET497" t="e">
        <f>INDEX(GeneralMaster!#REF!,0,2)</f>
        <v>#REF!</v>
      </c>
    </row>
    <row r="498" spans="16374:16374">
      <c r="XET498" t="e">
        <f>INDEX(GeneralMaster!#REF!,0,2)</f>
        <v>#REF!</v>
      </c>
    </row>
    <row r="499" spans="16374:16374">
      <c r="XET499" t="e">
        <f>INDEX(GeneralMaster!#REF!,0,2)</f>
        <v>#REF!</v>
      </c>
    </row>
    <row r="500" spans="16374:16374">
      <c r="XET500" t="e">
        <f>INDEX(GeneralMaster!#REF!,0,2)</f>
        <v>#REF!</v>
      </c>
    </row>
    <row r="501" spans="16374:16374">
      <c r="XET501" t="e">
        <f>INDEX(GeneralMaster!#REF!,0,2)</f>
        <v>#REF!</v>
      </c>
    </row>
    <row r="502" spans="16374:16374">
      <c r="XET502" t="e">
        <f>INDEX(GeneralMaster!#REF!,0,2)</f>
        <v>#REF!</v>
      </c>
    </row>
    <row r="503" spans="16374:16374">
      <c r="XET503" t="e">
        <f>INDEX(GeneralMaster!#REF!,0,2)</f>
        <v>#REF!</v>
      </c>
    </row>
    <row r="504" spans="16374:16374">
      <c r="XET504" t="e">
        <f>INDEX(GeneralMaster!#REF!,0,2)</f>
        <v>#REF!</v>
      </c>
    </row>
    <row r="505" spans="16374:16374">
      <c r="XET505" t="e">
        <f>INDEX(GeneralMaster!#REF!,0,2)</f>
        <v>#REF!</v>
      </c>
    </row>
    <row r="506" spans="16374:16374">
      <c r="XET506" t="e">
        <f>INDEX(GeneralMaster!#REF!,0,2)</f>
        <v>#REF!</v>
      </c>
    </row>
    <row r="507" spans="16374:16374">
      <c r="XET507" t="e">
        <f>INDEX(GeneralMaster!#REF!,0,2)</f>
        <v>#REF!</v>
      </c>
    </row>
    <row r="508" spans="16374:16374">
      <c r="XET508" t="e">
        <f>INDEX(GeneralMaster!#REF!,0,2)</f>
        <v>#REF!</v>
      </c>
    </row>
    <row r="509" spans="16374:16374">
      <c r="XET509" t="e">
        <f>INDEX(GeneralMaster!#REF!,0,2)</f>
        <v>#REF!</v>
      </c>
    </row>
    <row r="510" spans="16374:16374">
      <c r="XET510" t="e">
        <f>INDEX(GeneralMaster!#REF!,0,2)</f>
        <v>#REF!</v>
      </c>
    </row>
    <row r="511" spans="16374:16374">
      <c r="XET511" t="e">
        <f>INDEX(GeneralMaster!#REF!,0,2)</f>
        <v>#REF!</v>
      </c>
    </row>
    <row r="512" spans="16374:16374">
      <c r="XET512" t="e">
        <f>INDEX(GeneralMaster!#REF!,0,2)</f>
        <v>#REF!</v>
      </c>
    </row>
    <row r="513" spans="16374:16374">
      <c r="XET513" t="e">
        <f>INDEX(GeneralMaster!#REF!,0,2)</f>
        <v>#REF!</v>
      </c>
    </row>
    <row r="514" spans="16374:16374">
      <c r="XET514" t="e">
        <f>INDEX(GeneralMaster!#REF!,0,2)</f>
        <v>#REF!</v>
      </c>
    </row>
    <row r="515" spans="16374:16374">
      <c r="XET515" t="e">
        <f>INDEX(GeneralMaster!#REF!,0,2)</f>
        <v>#REF!</v>
      </c>
    </row>
    <row r="516" spans="16374:16374">
      <c r="XET516" t="e">
        <f>INDEX(GeneralMaster!#REF!,0,2)</f>
        <v>#REF!</v>
      </c>
    </row>
    <row r="517" spans="16374:16374">
      <c r="XET517" t="e">
        <f>INDEX(GeneralMaster!#REF!,0,2)</f>
        <v>#REF!</v>
      </c>
    </row>
    <row r="518" spans="16374:16374">
      <c r="XET518" t="e">
        <f>INDEX(GeneralMaster!#REF!,0,2)</f>
        <v>#REF!</v>
      </c>
    </row>
    <row r="519" spans="16374:16374">
      <c r="XET519" t="e">
        <f>INDEX(GeneralMaster!#REF!,0,2)</f>
        <v>#REF!</v>
      </c>
    </row>
    <row r="520" spans="16374:16374">
      <c r="XET520" t="e">
        <f>INDEX(GeneralMaster!#REF!,0,2)</f>
        <v>#REF!</v>
      </c>
    </row>
    <row r="521" spans="16374:16374">
      <c r="XET521" t="e">
        <f>INDEX(GeneralMaster!#REF!,0,2)</f>
        <v>#REF!</v>
      </c>
    </row>
    <row r="522" spans="16374:16374">
      <c r="XET522" t="e">
        <f>INDEX(GeneralMaster!#REF!,0,2)</f>
        <v>#REF!</v>
      </c>
    </row>
    <row r="523" spans="16374:16374">
      <c r="XET523" t="e">
        <f>INDEX(GeneralMaster!#REF!,0,2)</f>
        <v>#REF!</v>
      </c>
    </row>
    <row r="524" spans="16374:16374">
      <c r="XET524" t="e">
        <f>INDEX(GeneralMaster!#REF!,0,2)</f>
        <v>#REF!</v>
      </c>
    </row>
    <row r="525" spans="16374:16374">
      <c r="XET525" t="e">
        <f>INDEX(GeneralMaster!#REF!,0,2)</f>
        <v>#REF!</v>
      </c>
    </row>
    <row r="526" spans="16374:16374">
      <c r="XET526" t="e">
        <f>INDEX(GeneralMaster!#REF!,0,2)</f>
        <v>#REF!</v>
      </c>
    </row>
    <row r="527" spans="16374:16374">
      <c r="XET527" t="e">
        <f>INDEX(GeneralMaster!#REF!,0,2)</f>
        <v>#REF!</v>
      </c>
    </row>
    <row r="528" spans="16374:16374">
      <c r="XET528" t="e">
        <f>INDEX(GeneralMaster!#REF!,0,2)</f>
        <v>#REF!</v>
      </c>
    </row>
    <row r="529" spans="16374:16374">
      <c r="XET529" t="e">
        <f>INDEX(GeneralMaster!#REF!,0,2)</f>
        <v>#REF!</v>
      </c>
    </row>
    <row r="530" spans="16374:16374">
      <c r="XET530" t="e">
        <f>INDEX(GeneralMaster!#REF!,0,2)</f>
        <v>#REF!</v>
      </c>
    </row>
    <row r="531" spans="16374:16374">
      <c r="XET531" t="e">
        <f>INDEX(GeneralMaster!#REF!,0,2)</f>
        <v>#REF!</v>
      </c>
    </row>
    <row r="532" spans="16374:16374">
      <c r="XET532" t="e">
        <f>INDEX(GeneralMaster!#REF!,0,2)</f>
        <v>#REF!</v>
      </c>
    </row>
    <row r="533" spans="16374:16374">
      <c r="XET533" t="e">
        <f>INDEX(GeneralMaster!#REF!,0,2)</f>
        <v>#REF!</v>
      </c>
    </row>
    <row r="534" spans="16374:16374">
      <c r="XET534" t="e">
        <f>INDEX(GeneralMaster!#REF!,0,2)</f>
        <v>#REF!</v>
      </c>
    </row>
    <row r="535" spans="16374:16374">
      <c r="XET535" t="e">
        <f>INDEX(GeneralMaster!#REF!,0,2)</f>
        <v>#REF!</v>
      </c>
    </row>
    <row r="536" spans="16374:16374">
      <c r="XET536" t="e">
        <f>INDEX(GeneralMaster!#REF!,0,2)</f>
        <v>#REF!</v>
      </c>
    </row>
    <row r="537" spans="16374:16374">
      <c r="XET537" t="e">
        <f>INDEX(GeneralMaster!#REF!,0,2)</f>
        <v>#REF!</v>
      </c>
    </row>
    <row r="538" spans="16374:16374">
      <c r="XET538" t="e">
        <f>INDEX(GeneralMaster!#REF!,0,2)</f>
        <v>#REF!</v>
      </c>
    </row>
    <row r="539" spans="16374:16374">
      <c r="XET539" t="e">
        <f>INDEX(GeneralMaster!#REF!,0,2)</f>
        <v>#REF!</v>
      </c>
    </row>
    <row r="540" spans="16374:16374">
      <c r="XET540" t="e">
        <f>INDEX(GeneralMaster!#REF!,0,2)</f>
        <v>#REF!</v>
      </c>
    </row>
    <row r="541" spans="16374:16374">
      <c r="XET541" t="e">
        <f>INDEX(GeneralMaster!#REF!,0,2)</f>
        <v>#REF!</v>
      </c>
    </row>
    <row r="542" spans="16374:16374">
      <c r="XET542" t="e">
        <f>INDEX(GeneralMaster!#REF!,0,2)</f>
        <v>#REF!</v>
      </c>
    </row>
    <row r="543" spans="16374:16374">
      <c r="XET543" t="e">
        <f>INDEX(GeneralMaster!#REF!,0,2)</f>
        <v>#REF!</v>
      </c>
    </row>
    <row r="544" spans="16374:16374">
      <c r="XET544" t="e">
        <f>INDEX(GeneralMaster!#REF!,0,2)</f>
        <v>#REF!</v>
      </c>
    </row>
    <row r="545" spans="16374:16374">
      <c r="XET545" t="e">
        <f>INDEX(GeneralMaster!#REF!,0,2)</f>
        <v>#REF!</v>
      </c>
    </row>
    <row r="546" spans="16374:16374">
      <c r="XET546" t="e">
        <f>INDEX(GeneralMaster!#REF!,0,2)</f>
        <v>#REF!</v>
      </c>
    </row>
    <row r="547" spans="16374:16374">
      <c r="XET547" t="e">
        <f>INDEX(GeneralMaster!#REF!,0,2)</f>
        <v>#REF!</v>
      </c>
    </row>
    <row r="548" spans="16374:16374">
      <c r="XET548" t="e">
        <f>INDEX(GeneralMaster!#REF!,0,2)</f>
        <v>#REF!</v>
      </c>
    </row>
    <row r="549" spans="16374:16374">
      <c r="XET549" t="e">
        <f>INDEX(GeneralMaster!#REF!,0,2)</f>
        <v>#REF!</v>
      </c>
    </row>
    <row r="550" spans="16374:16374">
      <c r="XET550" t="e">
        <f>INDEX(GeneralMaster!#REF!,0,2)</f>
        <v>#REF!</v>
      </c>
    </row>
    <row r="551" spans="16374:16374">
      <c r="XET551" t="e">
        <f>INDEX(GeneralMaster!#REF!,0,2)</f>
        <v>#REF!</v>
      </c>
    </row>
    <row r="552" spans="16374:16374">
      <c r="XET552" t="e">
        <f>INDEX(GeneralMaster!#REF!,0,2)</f>
        <v>#REF!</v>
      </c>
    </row>
    <row r="553" spans="16374:16374">
      <c r="XET553" t="e">
        <f>INDEX(GeneralMaster!#REF!,0,2)</f>
        <v>#REF!</v>
      </c>
    </row>
    <row r="554" spans="16374:16374">
      <c r="XET554" t="e">
        <f>INDEX(GeneralMaster!#REF!,0,2)</f>
        <v>#REF!</v>
      </c>
    </row>
    <row r="555" spans="16374:16374">
      <c r="XET555" t="e">
        <f>INDEX(GeneralMaster!#REF!,0,2)</f>
        <v>#REF!</v>
      </c>
    </row>
    <row r="556" spans="16374:16374">
      <c r="XET556" t="e">
        <f>INDEX(GeneralMaster!#REF!,0,2)</f>
        <v>#REF!</v>
      </c>
    </row>
    <row r="557" spans="16374:16374">
      <c r="XET557" t="e">
        <f>INDEX(GeneralMaster!#REF!,0,2)</f>
        <v>#REF!</v>
      </c>
    </row>
    <row r="558" spans="16374:16374">
      <c r="XET558" t="e">
        <f>INDEX(GeneralMaster!#REF!,0,2)</f>
        <v>#REF!</v>
      </c>
    </row>
    <row r="559" spans="16374:16374">
      <c r="XET559" t="e">
        <f>INDEX(GeneralMaster!#REF!,0,2)</f>
        <v>#REF!</v>
      </c>
    </row>
    <row r="560" spans="16374:16374">
      <c r="XET560" t="e">
        <f>INDEX(GeneralMaster!#REF!,0,2)</f>
        <v>#REF!</v>
      </c>
    </row>
    <row r="561" spans="16374:16374">
      <c r="XET561" t="e">
        <f>INDEX(GeneralMaster!#REF!,0,2)</f>
        <v>#REF!</v>
      </c>
    </row>
    <row r="562" spans="16374:16374">
      <c r="XET562" t="e">
        <f>INDEX(GeneralMaster!#REF!,0,2)</f>
        <v>#REF!</v>
      </c>
    </row>
    <row r="563" spans="16374:16374">
      <c r="XET563" t="e">
        <f>INDEX(GeneralMaster!#REF!,0,2)</f>
        <v>#REF!</v>
      </c>
    </row>
    <row r="564" spans="16374:16374">
      <c r="XET564" t="e">
        <f>INDEX(GeneralMaster!#REF!,0,2)</f>
        <v>#REF!</v>
      </c>
    </row>
    <row r="565" spans="16374:16374">
      <c r="XET565" t="e">
        <f>INDEX(GeneralMaster!#REF!,0,2)</f>
        <v>#REF!</v>
      </c>
    </row>
    <row r="566" spans="16374:16374">
      <c r="XET566" t="e">
        <f>INDEX(GeneralMaster!#REF!,0,2)</f>
        <v>#REF!</v>
      </c>
    </row>
    <row r="567" spans="16374:16374">
      <c r="XET567" t="e">
        <f>INDEX(GeneralMaster!#REF!,0,2)</f>
        <v>#REF!</v>
      </c>
    </row>
    <row r="568" spans="16374:16374">
      <c r="XET568" t="e">
        <f>INDEX(GeneralMaster!#REF!,0,2)</f>
        <v>#REF!</v>
      </c>
    </row>
    <row r="569" spans="16374:16374">
      <c r="XET569" t="e">
        <f>INDEX(GeneralMaster!#REF!,0,2)</f>
        <v>#REF!</v>
      </c>
    </row>
    <row r="570" spans="16374:16374">
      <c r="XET570" t="e">
        <f>INDEX(GeneralMaster!#REF!,0,2)</f>
        <v>#REF!</v>
      </c>
    </row>
    <row r="571" spans="16374:16374">
      <c r="XET571" t="e">
        <f>INDEX(GeneralMaster!#REF!,0,2)</f>
        <v>#REF!</v>
      </c>
    </row>
    <row r="572" spans="16374:16374">
      <c r="XET572" t="e">
        <f>INDEX(GeneralMaster!#REF!,0,2)</f>
        <v>#REF!</v>
      </c>
    </row>
    <row r="573" spans="16374:16374">
      <c r="XET573" t="e">
        <f>INDEX(GeneralMaster!#REF!,0,2)</f>
        <v>#REF!</v>
      </c>
    </row>
    <row r="574" spans="16374:16374">
      <c r="XET574" t="e">
        <f>INDEX(GeneralMaster!#REF!,0,2)</f>
        <v>#REF!</v>
      </c>
    </row>
    <row r="575" spans="16374:16374">
      <c r="XET575" t="e">
        <f>INDEX(GeneralMaster!#REF!,0,2)</f>
        <v>#REF!</v>
      </c>
    </row>
    <row r="576" spans="16374:16374">
      <c r="XET576" t="e">
        <f>INDEX(GeneralMaster!#REF!,0,2)</f>
        <v>#REF!</v>
      </c>
    </row>
    <row r="577" spans="16374:16374">
      <c r="XET577" t="e">
        <f>INDEX(GeneralMaster!#REF!,0,2)</f>
        <v>#REF!</v>
      </c>
    </row>
    <row r="578" spans="16374:16374">
      <c r="XET578" t="e">
        <f>INDEX(GeneralMaster!#REF!,0,2)</f>
        <v>#REF!</v>
      </c>
    </row>
    <row r="579" spans="16374:16374">
      <c r="XET579" t="e">
        <f>INDEX(GeneralMaster!#REF!,0,2)</f>
        <v>#REF!</v>
      </c>
    </row>
    <row r="580" spans="16374:16374">
      <c r="XET580" t="e">
        <f>INDEX(GeneralMaster!#REF!,0,2)</f>
        <v>#REF!</v>
      </c>
    </row>
    <row r="581" spans="16374:16374">
      <c r="XET581" t="e">
        <f>INDEX(GeneralMaster!#REF!,0,2)</f>
        <v>#REF!</v>
      </c>
    </row>
    <row r="582" spans="16374:16374">
      <c r="XET582" t="e">
        <f>INDEX(GeneralMaster!#REF!,0,2)</f>
        <v>#REF!</v>
      </c>
    </row>
    <row r="583" spans="16374:16374">
      <c r="XET583" t="e">
        <f>INDEX(GeneralMaster!#REF!,0,2)</f>
        <v>#REF!</v>
      </c>
    </row>
    <row r="584" spans="16374:16374">
      <c r="XET584" t="e">
        <f>INDEX(GeneralMaster!#REF!,0,2)</f>
        <v>#REF!</v>
      </c>
    </row>
    <row r="585" spans="16374:16374">
      <c r="XET585" t="e">
        <f>INDEX(GeneralMaster!#REF!,0,2)</f>
        <v>#REF!</v>
      </c>
    </row>
    <row r="586" spans="16374:16374">
      <c r="XET586" t="e">
        <f>INDEX(GeneralMaster!#REF!,0,2)</f>
        <v>#REF!</v>
      </c>
    </row>
    <row r="587" spans="16374:16374">
      <c r="XET587" t="e">
        <f>INDEX(GeneralMaster!#REF!,0,2)</f>
        <v>#REF!</v>
      </c>
    </row>
    <row r="588" spans="16374:16374">
      <c r="XET588" t="e">
        <f>INDEX(GeneralMaster!#REF!,0,2)</f>
        <v>#REF!</v>
      </c>
    </row>
    <row r="589" spans="16374:16374">
      <c r="XET589" t="e">
        <f>INDEX(GeneralMaster!#REF!,0,2)</f>
        <v>#REF!</v>
      </c>
    </row>
    <row r="590" spans="16374:16374">
      <c r="XET590" t="e">
        <f>INDEX(GeneralMaster!#REF!,0,2)</f>
        <v>#REF!</v>
      </c>
    </row>
    <row r="591" spans="16374:16374">
      <c r="XET591" t="e">
        <f>INDEX(GeneralMaster!#REF!,0,2)</f>
        <v>#REF!</v>
      </c>
    </row>
    <row r="592" spans="16374:16374">
      <c r="XET592" t="e">
        <f>INDEX(GeneralMaster!#REF!,0,2)</f>
        <v>#REF!</v>
      </c>
    </row>
    <row r="593" spans="16374:16374">
      <c r="XET593" t="e">
        <f>INDEX(GeneralMaster!#REF!,0,2)</f>
        <v>#REF!</v>
      </c>
    </row>
    <row r="594" spans="16374:16374">
      <c r="XET594" t="e">
        <f>INDEX(GeneralMaster!#REF!,0,2)</f>
        <v>#REF!</v>
      </c>
    </row>
  </sheetData>
  <conditionalFormatting sqref="D1:D2 D4:D1048576">
    <cfRule type="duplicateValues" dxfId="96" priority="2"/>
  </conditionalFormatting>
  <conditionalFormatting sqref="C1:C1048576">
    <cfRule type="duplicateValues" dxfId="95" priority="1"/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U27"/>
  <sheetViews>
    <sheetView zoomScaleNormal="100" workbookViewId="0">
      <pane xSplit="2" ySplit="2" topLeftCell="N3" activePane="bottomRight" state="frozen"/>
      <selection pane="topRight" activeCell="C1" sqref="C1"/>
      <selection pane="bottomLeft" activeCell="A3" sqref="A3"/>
      <selection pane="bottomRight" activeCell="U3" sqref="U3"/>
    </sheetView>
  </sheetViews>
  <sheetFormatPr defaultRowHeight="15" outlineLevelCol="1"/>
  <cols>
    <col min="1" max="1" width="10.140625" bestFit="1" customWidth="1"/>
    <col min="2" max="2" width="30.28515625" bestFit="1" customWidth="1"/>
    <col min="3" max="3" width="27.42578125" hidden="1" customWidth="1" outlineLevel="1"/>
    <col min="4" max="4" width="9.85546875" hidden="1" customWidth="1" outlineLevel="1"/>
    <col min="5" max="5" width="11.140625" hidden="1" customWidth="1" outlineLevel="1"/>
    <col min="6" max="6" width="30.28515625" bestFit="1" customWidth="1" collapsed="1"/>
    <col min="7" max="7" width="23" customWidth="1"/>
    <col min="8" max="8" width="22.85546875" customWidth="1"/>
    <col min="9" max="9" width="13.7109375" customWidth="1"/>
    <col min="10" max="10" width="15.5703125" bestFit="1" customWidth="1"/>
    <col min="11" max="11" width="16.28515625" customWidth="1"/>
    <col min="12" max="12" width="17.7109375" bestFit="1" customWidth="1"/>
    <col min="13" max="13" width="27.5703125" bestFit="1" customWidth="1"/>
    <col min="14" max="14" width="17.28515625" customWidth="1"/>
    <col min="15" max="15" width="14.7109375" customWidth="1"/>
    <col min="16" max="16" width="15.140625" customWidth="1"/>
    <col min="17" max="17" width="16" customWidth="1"/>
    <col min="18" max="18" width="16.42578125" customWidth="1"/>
    <col min="19" max="19" width="17" customWidth="1"/>
    <col min="20" max="20" width="15.140625" customWidth="1"/>
    <col min="21" max="21" width="11.140625" bestFit="1" customWidth="1"/>
  </cols>
  <sheetData>
    <row r="1" spans="1:21" ht="32.25" customHeight="1"/>
    <row r="2" spans="1:21" s="7" customFormat="1">
      <c r="A2" s="7" t="s">
        <v>0</v>
      </c>
      <c r="B2" s="7" t="s">
        <v>52</v>
      </c>
      <c r="C2" s="7" t="s">
        <v>53</v>
      </c>
      <c r="D2" s="7" t="s">
        <v>54</v>
      </c>
      <c r="E2" s="7" t="s">
        <v>55</v>
      </c>
      <c r="F2" s="7" t="s">
        <v>56</v>
      </c>
      <c r="G2" s="7" t="s">
        <v>57</v>
      </c>
      <c r="H2" s="7" t="s">
        <v>58</v>
      </c>
      <c r="I2" s="7" t="s">
        <v>59</v>
      </c>
      <c r="J2" s="7" t="s">
        <v>60</v>
      </c>
      <c r="K2" s="7" t="s">
        <v>61</v>
      </c>
      <c r="L2" s="7" t="s">
        <v>62</v>
      </c>
      <c r="M2" s="7" t="s">
        <v>63</v>
      </c>
      <c r="N2" s="7" t="s">
        <v>64</v>
      </c>
      <c r="O2" s="7" t="s">
        <v>65</v>
      </c>
      <c r="P2" s="7" t="s">
        <v>66</v>
      </c>
      <c r="Q2" s="7" t="s">
        <v>67</v>
      </c>
      <c r="R2" s="7" t="s">
        <v>68</v>
      </c>
      <c r="S2" s="7" t="s">
        <v>69</v>
      </c>
      <c r="T2" s="7" t="s">
        <v>70</v>
      </c>
      <c r="U2" s="7" t="s">
        <v>1025</v>
      </c>
    </row>
    <row r="3" spans="1:21">
      <c r="A3" t="s">
        <v>34</v>
      </c>
      <c r="B3" t="s">
        <v>949</v>
      </c>
      <c r="C3" t="s">
        <v>950</v>
      </c>
      <c r="D3" t="s">
        <v>951</v>
      </c>
      <c r="E3" t="s">
        <v>71</v>
      </c>
      <c r="F3" t="s">
        <v>952</v>
      </c>
      <c r="G3" t="s">
        <v>953</v>
      </c>
      <c r="H3" t="s">
        <v>72</v>
      </c>
      <c r="I3" t="s">
        <v>72</v>
      </c>
      <c r="J3" t="s">
        <v>954</v>
      </c>
      <c r="K3" t="s">
        <v>955</v>
      </c>
      <c r="L3" t="s">
        <v>956</v>
      </c>
      <c r="M3" t="s">
        <v>957</v>
      </c>
      <c r="N3" t="b">
        <v>1</v>
      </c>
      <c r="O3" t="s">
        <v>38</v>
      </c>
      <c r="P3" s="57">
        <v>43736</v>
      </c>
      <c r="Q3" t="s">
        <v>38</v>
      </c>
      <c r="R3" s="57">
        <v>44026.549363425926</v>
      </c>
      <c r="S3" t="s">
        <v>73</v>
      </c>
      <c r="T3" t="s">
        <v>74</v>
      </c>
      <c r="U3" t="s">
        <v>34</v>
      </c>
    </row>
    <row r="4" spans="1:21">
      <c r="A4" t="s">
        <v>95</v>
      </c>
      <c r="B4" t="s">
        <v>958</v>
      </c>
      <c r="C4" t="s">
        <v>958</v>
      </c>
      <c r="D4" t="s">
        <v>72</v>
      </c>
      <c r="E4" t="s">
        <v>119</v>
      </c>
      <c r="F4" t="s">
        <v>959</v>
      </c>
      <c r="G4" t="s">
        <v>72</v>
      </c>
      <c r="H4" t="s">
        <v>72</v>
      </c>
      <c r="I4" t="s">
        <v>72</v>
      </c>
      <c r="J4" t="s">
        <v>960</v>
      </c>
      <c r="K4" t="s">
        <v>961</v>
      </c>
      <c r="L4" t="s">
        <v>962</v>
      </c>
      <c r="M4" t="s">
        <v>963</v>
      </c>
      <c r="N4" t="b">
        <v>0</v>
      </c>
      <c r="O4" t="s">
        <v>38</v>
      </c>
      <c r="P4" s="57">
        <v>44025.459074074075</v>
      </c>
      <c r="R4" s="57"/>
      <c r="S4" t="s">
        <v>74</v>
      </c>
      <c r="T4" t="s">
        <v>74</v>
      </c>
      <c r="U4" t="s">
        <v>95</v>
      </c>
    </row>
    <row r="5" spans="1:21">
      <c r="A5" t="s">
        <v>111</v>
      </c>
      <c r="B5" t="s">
        <v>964</v>
      </c>
      <c r="C5" t="s">
        <v>964</v>
      </c>
      <c r="D5" t="s">
        <v>72</v>
      </c>
      <c r="E5" t="s">
        <v>121</v>
      </c>
      <c r="F5" t="s">
        <v>965</v>
      </c>
      <c r="G5" t="s">
        <v>72</v>
      </c>
      <c r="H5" t="s">
        <v>72</v>
      </c>
      <c r="I5" t="s">
        <v>72</v>
      </c>
      <c r="J5" t="s">
        <v>72</v>
      </c>
      <c r="K5" t="s">
        <v>72</v>
      </c>
      <c r="L5" t="s">
        <v>966</v>
      </c>
      <c r="M5" t="s">
        <v>72</v>
      </c>
      <c r="N5" t="b">
        <v>0</v>
      </c>
      <c r="O5" t="s">
        <v>38</v>
      </c>
      <c r="P5" s="57">
        <v>44089.684548611112</v>
      </c>
      <c r="Q5" t="s">
        <v>38</v>
      </c>
      <c r="R5" s="57">
        <v>44090.642210648148</v>
      </c>
      <c r="S5" t="s">
        <v>73</v>
      </c>
      <c r="T5" t="s">
        <v>74</v>
      </c>
      <c r="U5" t="s">
        <v>111</v>
      </c>
    </row>
    <row r="6" spans="1:21">
      <c r="A6" t="s">
        <v>113</v>
      </c>
      <c r="B6" t="s">
        <v>967</v>
      </c>
      <c r="C6" t="s">
        <v>967</v>
      </c>
      <c r="D6" t="s">
        <v>72</v>
      </c>
      <c r="E6" t="s">
        <v>121</v>
      </c>
      <c r="F6" t="s">
        <v>968</v>
      </c>
      <c r="G6" t="s">
        <v>72</v>
      </c>
      <c r="H6" t="s">
        <v>72</v>
      </c>
      <c r="I6" t="s">
        <v>72</v>
      </c>
      <c r="J6" t="s">
        <v>72</v>
      </c>
      <c r="K6" t="s">
        <v>72</v>
      </c>
      <c r="L6" t="s">
        <v>966</v>
      </c>
      <c r="M6" t="s">
        <v>72</v>
      </c>
      <c r="N6" t="b">
        <v>0</v>
      </c>
      <c r="O6" t="s">
        <v>38</v>
      </c>
      <c r="P6" s="57">
        <v>44089.684548611112</v>
      </c>
      <c r="Q6" t="s">
        <v>38</v>
      </c>
      <c r="R6" s="57">
        <v>44090.670358796298</v>
      </c>
      <c r="S6" t="s">
        <v>73</v>
      </c>
      <c r="T6" t="s">
        <v>74</v>
      </c>
      <c r="U6" t="s">
        <v>113</v>
      </c>
    </row>
    <row r="7" spans="1:21">
      <c r="A7" t="s">
        <v>897</v>
      </c>
      <c r="B7" t="s">
        <v>969</v>
      </c>
      <c r="C7" t="s">
        <v>969</v>
      </c>
      <c r="D7" t="s">
        <v>72</v>
      </c>
      <c r="E7" t="s">
        <v>121</v>
      </c>
      <c r="F7" t="s">
        <v>970</v>
      </c>
      <c r="G7" t="s">
        <v>72</v>
      </c>
      <c r="H7" t="s">
        <v>72</v>
      </c>
      <c r="I7" t="s">
        <v>72</v>
      </c>
      <c r="J7" t="s">
        <v>72</v>
      </c>
      <c r="K7" t="s">
        <v>72</v>
      </c>
      <c r="L7" t="s">
        <v>966</v>
      </c>
      <c r="M7" t="s">
        <v>72</v>
      </c>
      <c r="N7" t="b">
        <v>0</v>
      </c>
      <c r="O7" t="s">
        <v>38</v>
      </c>
      <c r="P7" s="57">
        <v>44089.684548611112</v>
      </c>
      <c r="Q7" t="s">
        <v>38</v>
      </c>
      <c r="R7" s="57">
        <v>44090.733171296299</v>
      </c>
      <c r="S7" t="s">
        <v>73</v>
      </c>
      <c r="T7" t="s">
        <v>74</v>
      </c>
      <c r="U7" t="s">
        <v>897</v>
      </c>
    </row>
    <row r="8" spans="1:21">
      <c r="A8" t="s">
        <v>96</v>
      </c>
      <c r="B8" t="s">
        <v>972</v>
      </c>
      <c r="C8" t="s">
        <v>972</v>
      </c>
      <c r="D8" t="s">
        <v>72</v>
      </c>
      <c r="E8" t="s">
        <v>745</v>
      </c>
      <c r="F8" t="s">
        <v>72</v>
      </c>
      <c r="G8" t="s">
        <v>72</v>
      </c>
      <c r="H8" t="s">
        <v>72</v>
      </c>
      <c r="I8" t="s">
        <v>72</v>
      </c>
      <c r="J8" t="s">
        <v>72</v>
      </c>
      <c r="K8" t="s">
        <v>72</v>
      </c>
      <c r="L8" t="s">
        <v>72</v>
      </c>
      <c r="M8" t="s">
        <v>72</v>
      </c>
      <c r="N8" t="b">
        <v>0</v>
      </c>
      <c r="O8" t="s">
        <v>38</v>
      </c>
      <c r="P8" s="57">
        <v>44026.911747685182</v>
      </c>
      <c r="Q8" t="s">
        <v>38</v>
      </c>
      <c r="R8" s="57">
        <v>44089.711261574077</v>
      </c>
      <c r="S8" t="s">
        <v>73</v>
      </c>
      <c r="T8" t="s">
        <v>74</v>
      </c>
      <c r="U8" t="s">
        <v>898</v>
      </c>
    </row>
    <row r="9" spans="1:21">
      <c r="A9" t="s">
        <v>97</v>
      </c>
      <c r="B9" t="s">
        <v>983</v>
      </c>
      <c r="C9" t="s">
        <v>983</v>
      </c>
      <c r="D9" t="s">
        <v>72</v>
      </c>
      <c r="E9" t="s">
        <v>119</v>
      </c>
      <c r="F9" t="s">
        <v>984</v>
      </c>
      <c r="G9" t="s">
        <v>72</v>
      </c>
      <c r="H9" t="s">
        <v>72</v>
      </c>
      <c r="I9" t="s">
        <v>72</v>
      </c>
      <c r="J9" t="s">
        <v>72</v>
      </c>
      <c r="K9" t="s">
        <v>72</v>
      </c>
      <c r="L9" t="s">
        <v>985</v>
      </c>
      <c r="M9" t="s">
        <v>72</v>
      </c>
      <c r="N9" t="b">
        <v>0</v>
      </c>
      <c r="O9" t="s">
        <v>76</v>
      </c>
      <c r="P9" s="57">
        <v>44035.655902777777</v>
      </c>
      <c r="R9" s="57"/>
      <c r="S9" t="s">
        <v>74</v>
      </c>
      <c r="T9" t="s">
        <v>74</v>
      </c>
      <c r="U9" t="s">
        <v>96</v>
      </c>
    </row>
    <row r="10" spans="1:21">
      <c r="A10" t="s">
        <v>98</v>
      </c>
      <c r="B10" t="s">
        <v>986</v>
      </c>
      <c r="C10" t="s">
        <v>986</v>
      </c>
      <c r="D10" t="s">
        <v>72</v>
      </c>
      <c r="E10" t="s">
        <v>745</v>
      </c>
      <c r="F10" t="s">
        <v>987</v>
      </c>
      <c r="G10" t="s">
        <v>988</v>
      </c>
      <c r="H10" t="s">
        <v>989</v>
      </c>
      <c r="I10" t="s">
        <v>72</v>
      </c>
      <c r="J10" t="s">
        <v>72</v>
      </c>
      <c r="K10" t="s">
        <v>72</v>
      </c>
      <c r="L10" t="s">
        <v>990</v>
      </c>
      <c r="M10" t="s">
        <v>72</v>
      </c>
      <c r="N10" t="b">
        <v>0</v>
      </c>
      <c r="O10" t="s">
        <v>38</v>
      </c>
      <c r="P10" s="57">
        <v>44042.863020833334</v>
      </c>
      <c r="R10" s="57"/>
      <c r="S10" t="s">
        <v>74</v>
      </c>
      <c r="T10" t="s">
        <v>74</v>
      </c>
      <c r="U10" t="s">
        <v>973</v>
      </c>
    </row>
    <row r="11" spans="1:21">
      <c r="A11" t="s">
        <v>115</v>
      </c>
      <c r="B11" t="s">
        <v>991</v>
      </c>
      <c r="C11" t="s">
        <v>991</v>
      </c>
      <c r="D11" t="s">
        <v>72</v>
      </c>
      <c r="E11" t="s">
        <v>745</v>
      </c>
      <c r="F11" t="s">
        <v>992</v>
      </c>
      <c r="G11" t="s">
        <v>993</v>
      </c>
      <c r="H11" t="s">
        <v>994</v>
      </c>
      <c r="I11" t="s">
        <v>72</v>
      </c>
      <c r="J11" t="s">
        <v>72</v>
      </c>
      <c r="K11" t="s">
        <v>72</v>
      </c>
      <c r="L11" t="s">
        <v>995</v>
      </c>
      <c r="M11" t="s">
        <v>72</v>
      </c>
      <c r="N11" t="b">
        <v>0</v>
      </c>
      <c r="O11" t="s">
        <v>38</v>
      </c>
      <c r="P11" s="57">
        <v>44042.877349537041</v>
      </c>
      <c r="R11" s="57"/>
      <c r="S11" t="s">
        <v>74</v>
      </c>
      <c r="T11" t="s">
        <v>74</v>
      </c>
      <c r="U11" t="s">
        <v>975</v>
      </c>
    </row>
    <row r="12" spans="1:21">
      <c r="A12" t="s">
        <v>99</v>
      </c>
      <c r="B12" t="s">
        <v>1008</v>
      </c>
      <c r="C12" t="s">
        <v>1008</v>
      </c>
      <c r="D12" t="s">
        <v>72</v>
      </c>
      <c r="E12" t="s">
        <v>769</v>
      </c>
      <c r="F12" t="s">
        <v>72</v>
      </c>
      <c r="G12" t="s">
        <v>72</v>
      </c>
      <c r="H12" t="s">
        <v>72</v>
      </c>
      <c r="I12" t="s">
        <v>72</v>
      </c>
      <c r="J12" t="s">
        <v>72</v>
      </c>
      <c r="K12" t="s">
        <v>72</v>
      </c>
      <c r="L12" t="s">
        <v>72</v>
      </c>
      <c r="M12" t="s">
        <v>72</v>
      </c>
      <c r="N12" t="b">
        <v>0</v>
      </c>
      <c r="O12" t="s">
        <v>38</v>
      </c>
      <c r="P12" s="57">
        <v>44051.788634259261</v>
      </c>
      <c r="R12" s="57"/>
      <c r="S12" t="s">
        <v>74</v>
      </c>
      <c r="T12" t="s">
        <v>74</v>
      </c>
      <c r="U12" t="s">
        <v>977</v>
      </c>
    </row>
    <row r="13" spans="1:21">
      <c r="A13" t="s">
        <v>100</v>
      </c>
      <c r="B13" t="s">
        <v>1009</v>
      </c>
      <c r="C13" t="s">
        <v>1009</v>
      </c>
      <c r="D13" t="s">
        <v>72</v>
      </c>
      <c r="E13" t="s">
        <v>769</v>
      </c>
      <c r="F13" t="s">
        <v>72</v>
      </c>
      <c r="G13" t="s">
        <v>72</v>
      </c>
      <c r="H13" t="s">
        <v>72</v>
      </c>
      <c r="I13" t="s">
        <v>72</v>
      </c>
      <c r="J13" t="s">
        <v>72</v>
      </c>
      <c r="K13" t="s">
        <v>72</v>
      </c>
      <c r="L13" t="s">
        <v>72</v>
      </c>
      <c r="M13" t="s">
        <v>72</v>
      </c>
      <c r="N13" t="b">
        <v>0</v>
      </c>
      <c r="O13" t="s">
        <v>38</v>
      </c>
      <c r="P13" s="57">
        <v>44051.789409722223</v>
      </c>
      <c r="Q13" t="s">
        <v>38</v>
      </c>
      <c r="R13" s="57">
        <v>44065.862627314818</v>
      </c>
      <c r="S13" t="s">
        <v>73</v>
      </c>
      <c r="T13" t="s">
        <v>74</v>
      </c>
      <c r="U13" t="s">
        <v>979</v>
      </c>
    </row>
    <row r="14" spans="1:21">
      <c r="A14" t="s">
        <v>101</v>
      </c>
      <c r="B14" t="s">
        <v>1010</v>
      </c>
      <c r="C14" t="s">
        <v>1010</v>
      </c>
      <c r="D14" t="s">
        <v>72</v>
      </c>
      <c r="E14" t="s">
        <v>71</v>
      </c>
      <c r="F14" t="s">
        <v>72</v>
      </c>
      <c r="G14" t="s">
        <v>72</v>
      </c>
      <c r="H14" t="s">
        <v>72</v>
      </c>
      <c r="I14" t="s">
        <v>72</v>
      </c>
      <c r="J14" t="s">
        <v>72</v>
      </c>
      <c r="K14" t="s">
        <v>72</v>
      </c>
      <c r="L14" t="s">
        <v>72</v>
      </c>
      <c r="M14" t="s">
        <v>72</v>
      </c>
      <c r="N14" t="b">
        <v>0</v>
      </c>
      <c r="O14" t="s">
        <v>38</v>
      </c>
      <c r="P14" s="57">
        <v>44057.753182870372</v>
      </c>
      <c r="R14" s="57"/>
      <c r="S14" t="s">
        <v>74</v>
      </c>
      <c r="T14" t="s">
        <v>74</v>
      </c>
      <c r="U14" t="s">
        <v>981</v>
      </c>
    </row>
    <row r="15" spans="1:21">
      <c r="A15" t="s">
        <v>51</v>
      </c>
      <c r="B15" t="s">
        <v>1011</v>
      </c>
      <c r="C15" t="s">
        <v>1011</v>
      </c>
      <c r="D15" t="s">
        <v>72</v>
      </c>
      <c r="E15" t="s">
        <v>769</v>
      </c>
      <c r="F15" t="s">
        <v>72</v>
      </c>
      <c r="G15" t="s">
        <v>72</v>
      </c>
      <c r="H15" t="s">
        <v>72</v>
      </c>
      <c r="I15" t="s">
        <v>72</v>
      </c>
      <c r="J15" t="s">
        <v>72</v>
      </c>
      <c r="K15" t="s">
        <v>72</v>
      </c>
      <c r="L15" t="s">
        <v>72</v>
      </c>
      <c r="M15" t="s">
        <v>72</v>
      </c>
      <c r="N15" t="b">
        <v>0</v>
      </c>
      <c r="O15" t="s">
        <v>38</v>
      </c>
      <c r="P15" s="57">
        <v>44057.758032407408</v>
      </c>
      <c r="Q15" t="s">
        <v>38</v>
      </c>
      <c r="R15" s="57">
        <v>44065.862916666665</v>
      </c>
      <c r="S15" t="s">
        <v>73</v>
      </c>
      <c r="T15" t="s">
        <v>74</v>
      </c>
      <c r="U15" t="s">
        <v>97</v>
      </c>
    </row>
    <row r="16" spans="1:21">
      <c r="A16" t="s">
        <v>124</v>
      </c>
      <c r="B16" t="s">
        <v>1012</v>
      </c>
      <c r="C16" t="s">
        <v>1012</v>
      </c>
      <c r="D16" t="s">
        <v>72</v>
      </c>
      <c r="E16" t="s">
        <v>769</v>
      </c>
      <c r="F16" t="s">
        <v>72</v>
      </c>
      <c r="G16" t="s">
        <v>72</v>
      </c>
      <c r="H16" t="s">
        <v>72</v>
      </c>
      <c r="I16" t="s">
        <v>72</v>
      </c>
      <c r="J16" t="s">
        <v>72</v>
      </c>
      <c r="K16" t="s">
        <v>72</v>
      </c>
      <c r="L16" t="s">
        <v>72</v>
      </c>
      <c r="M16" t="s">
        <v>72</v>
      </c>
      <c r="N16" t="b">
        <v>0</v>
      </c>
      <c r="O16" t="s">
        <v>38</v>
      </c>
      <c r="P16" s="57">
        <v>44057.758217592593</v>
      </c>
      <c r="Q16" t="s">
        <v>38</v>
      </c>
      <c r="R16" s="57">
        <v>44065.863171296296</v>
      </c>
      <c r="S16" t="s">
        <v>73</v>
      </c>
      <c r="T16" t="s">
        <v>74</v>
      </c>
      <c r="U16" t="s">
        <v>98</v>
      </c>
    </row>
    <row r="17" spans="1:21">
      <c r="A17" t="s">
        <v>125</v>
      </c>
      <c r="B17" t="s">
        <v>1013</v>
      </c>
      <c r="C17" t="s">
        <v>1013</v>
      </c>
      <c r="D17" t="s">
        <v>72</v>
      </c>
      <c r="E17" t="s">
        <v>769</v>
      </c>
      <c r="F17" t="s">
        <v>72</v>
      </c>
      <c r="G17" t="s">
        <v>72</v>
      </c>
      <c r="H17" t="s">
        <v>72</v>
      </c>
      <c r="I17" t="s">
        <v>72</v>
      </c>
      <c r="J17" t="s">
        <v>72</v>
      </c>
      <c r="K17" t="s">
        <v>72</v>
      </c>
      <c r="L17" t="s">
        <v>72</v>
      </c>
      <c r="M17" t="s">
        <v>72</v>
      </c>
      <c r="N17" t="b">
        <v>0</v>
      </c>
      <c r="O17" t="s">
        <v>38</v>
      </c>
      <c r="P17" s="57">
        <v>44057.75885416667</v>
      </c>
      <c r="Q17" t="s">
        <v>38</v>
      </c>
      <c r="R17" s="57">
        <v>44065.863530092596</v>
      </c>
      <c r="S17" t="s">
        <v>73</v>
      </c>
      <c r="T17" t="s">
        <v>74</v>
      </c>
      <c r="U17" t="s">
        <v>115</v>
      </c>
    </row>
    <row r="18" spans="1:21">
      <c r="A18" t="s">
        <v>102</v>
      </c>
      <c r="B18" t="s">
        <v>1014</v>
      </c>
      <c r="C18" t="s">
        <v>1014</v>
      </c>
      <c r="D18" t="s">
        <v>72</v>
      </c>
      <c r="E18" t="s">
        <v>769</v>
      </c>
      <c r="F18" t="s">
        <v>72</v>
      </c>
      <c r="G18" t="s">
        <v>72</v>
      </c>
      <c r="H18" t="s">
        <v>72</v>
      </c>
      <c r="I18" t="s">
        <v>72</v>
      </c>
      <c r="J18" t="s">
        <v>72</v>
      </c>
      <c r="K18" t="s">
        <v>72</v>
      </c>
      <c r="L18" t="s">
        <v>72</v>
      </c>
      <c r="M18" t="s">
        <v>72</v>
      </c>
      <c r="N18" t="b">
        <v>0</v>
      </c>
      <c r="O18" t="s">
        <v>38</v>
      </c>
      <c r="P18" s="57">
        <v>44057.759074074071</v>
      </c>
      <c r="Q18" t="s">
        <v>38</v>
      </c>
      <c r="R18" s="57">
        <v>44065.86409722222</v>
      </c>
      <c r="S18" t="s">
        <v>73</v>
      </c>
      <c r="T18" t="s">
        <v>74</v>
      </c>
      <c r="U18" t="s">
        <v>996</v>
      </c>
    </row>
    <row r="19" spans="1:21">
      <c r="A19" t="s">
        <v>104</v>
      </c>
      <c r="B19" t="s">
        <v>1015</v>
      </c>
      <c r="C19" t="s">
        <v>1015</v>
      </c>
      <c r="D19" t="s">
        <v>72</v>
      </c>
      <c r="E19" t="s">
        <v>769</v>
      </c>
      <c r="F19" t="s">
        <v>72</v>
      </c>
      <c r="G19" t="s">
        <v>72</v>
      </c>
      <c r="H19" t="s">
        <v>72</v>
      </c>
      <c r="I19" t="s">
        <v>72</v>
      </c>
      <c r="J19" t="s">
        <v>72</v>
      </c>
      <c r="K19" t="s">
        <v>72</v>
      </c>
      <c r="L19" t="s">
        <v>72</v>
      </c>
      <c r="M19" t="s">
        <v>72</v>
      </c>
      <c r="N19" t="b">
        <v>0</v>
      </c>
      <c r="O19" t="s">
        <v>78</v>
      </c>
      <c r="P19" s="57">
        <v>44070.61445601852</v>
      </c>
      <c r="R19" s="57"/>
      <c r="S19" t="s">
        <v>74</v>
      </c>
      <c r="T19" t="s">
        <v>74</v>
      </c>
      <c r="U19" t="s">
        <v>998</v>
      </c>
    </row>
    <row r="20" spans="1:21">
      <c r="A20" t="s">
        <v>107</v>
      </c>
      <c r="B20" t="s">
        <v>1016</v>
      </c>
      <c r="C20" t="s">
        <v>1016</v>
      </c>
      <c r="D20" t="s">
        <v>72</v>
      </c>
      <c r="E20" t="s">
        <v>769</v>
      </c>
      <c r="F20" t="s">
        <v>72</v>
      </c>
      <c r="G20" t="s">
        <v>72</v>
      </c>
      <c r="H20" t="s">
        <v>72</v>
      </c>
      <c r="I20" t="s">
        <v>72</v>
      </c>
      <c r="J20" t="s">
        <v>72</v>
      </c>
      <c r="K20" t="s">
        <v>72</v>
      </c>
      <c r="L20" t="s">
        <v>72</v>
      </c>
      <c r="M20" t="s">
        <v>72</v>
      </c>
      <c r="N20" t="b">
        <v>0</v>
      </c>
      <c r="O20" t="s">
        <v>78</v>
      </c>
      <c r="P20" s="57">
        <v>44071.549039351848</v>
      </c>
      <c r="R20" s="57"/>
      <c r="S20" t="s">
        <v>74</v>
      </c>
      <c r="T20" t="s">
        <v>74</v>
      </c>
      <c r="U20" t="s">
        <v>1000</v>
      </c>
    </row>
    <row r="21" spans="1:21">
      <c r="A21" t="s">
        <v>126</v>
      </c>
      <c r="B21" t="s">
        <v>1017</v>
      </c>
      <c r="C21" t="s">
        <v>1017</v>
      </c>
      <c r="D21" t="s">
        <v>72</v>
      </c>
      <c r="E21" t="s">
        <v>769</v>
      </c>
      <c r="F21" t="s">
        <v>72</v>
      </c>
      <c r="G21" t="s">
        <v>72</v>
      </c>
      <c r="H21" t="s">
        <v>72</v>
      </c>
      <c r="I21" t="s">
        <v>72</v>
      </c>
      <c r="J21" t="s">
        <v>72</v>
      </c>
      <c r="K21" t="s">
        <v>72</v>
      </c>
      <c r="L21" t="s">
        <v>72</v>
      </c>
      <c r="M21" t="s">
        <v>72</v>
      </c>
      <c r="N21" t="b">
        <v>0</v>
      </c>
      <c r="O21" t="s">
        <v>78</v>
      </c>
      <c r="P21" s="57">
        <v>44072.562025462961</v>
      </c>
      <c r="R21" s="57"/>
      <c r="S21" t="s">
        <v>74</v>
      </c>
      <c r="T21" t="s">
        <v>74</v>
      </c>
      <c r="U21" t="s">
        <v>1002</v>
      </c>
    </row>
    <row r="22" spans="1:21">
      <c r="A22" t="s">
        <v>103</v>
      </c>
      <c r="B22" t="s">
        <v>1018</v>
      </c>
      <c r="C22" t="s">
        <v>1018</v>
      </c>
      <c r="D22" t="s">
        <v>72</v>
      </c>
      <c r="E22" t="s">
        <v>769</v>
      </c>
      <c r="F22" t="s">
        <v>72</v>
      </c>
      <c r="G22" t="s">
        <v>72</v>
      </c>
      <c r="H22" t="s">
        <v>72</v>
      </c>
      <c r="I22" t="s">
        <v>72</v>
      </c>
      <c r="J22" t="s">
        <v>72</v>
      </c>
      <c r="K22" t="s">
        <v>72</v>
      </c>
      <c r="L22" t="s">
        <v>72</v>
      </c>
      <c r="M22" t="s">
        <v>72</v>
      </c>
      <c r="N22" t="b">
        <v>0</v>
      </c>
      <c r="O22" t="s">
        <v>76</v>
      </c>
      <c r="P22" s="57">
        <v>44075.63925925926</v>
      </c>
      <c r="R22" s="57"/>
      <c r="S22" t="s">
        <v>74</v>
      </c>
      <c r="T22" t="s">
        <v>74</v>
      </c>
      <c r="U22" t="s">
        <v>1004</v>
      </c>
    </row>
    <row r="23" spans="1:21">
      <c r="A23" t="s">
        <v>108</v>
      </c>
      <c r="B23" t="s">
        <v>1019</v>
      </c>
      <c r="C23" t="s">
        <v>1019</v>
      </c>
      <c r="D23" t="s">
        <v>72</v>
      </c>
      <c r="E23" t="s">
        <v>769</v>
      </c>
      <c r="F23" t="s">
        <v>72</v>
      </c>
      <c r="G23" t="s">
        <v>72</v>
      </c>
      <c r="H23" t="s">
        <v>72</v>
      </c>
      <c r="I23" t="s">
        <v>72</v>
      </c>
      <c r="J23" t="s">
        <v>72</v>
      </c>
      <c r="K23" t="s">
        <v>72</v>
      </c>
      <c r="L23" t="s">
        <v>72</v>
      </c>
      <c r="M23" t="s">
        <v>72</v>
      </c>
      <c r="N23" t="b">
        <v>0</v>
      </c>
      <c r="O23" t="s">
        <v>76</v>
      </c>
      <c r="P23" s="57">
        <v>44077.561238425929</v>
      </c>
      <c r="R23" s="57"/>
      <c r="S23" t="s">
        <v>74</v>
      </c>
      <c r="T23" t="s">
        <v>74</v>
      </c>
      <c r="U23" t="s">
        <v>1006</v>
      </c>
    </row>
    <row r="24" spans="1:21">
      <c r="A24" t="s">
        <v>109</v>
      </c>
      <c r="B24" t="s">
        <v>1020</v>
      </c>
      <c r="C24" t="s">
        <v>1020</v>
      </c>
      <c r="D24" t="s">
        <v>72</v>
      </c>
      <c r="E24" t="s">
        <v>769</v>
      </c>
      <c r="F24" t="s">
        <v>72</v>
      </c>
      <c r="G24" t="s">
        <v>72</v>
      </c>
      <c r="H24" t="s">
        <v>72</v>
      </c>
      <c r="I24" t="s">
        <v>72</v>
      </c>
      <c r="J24" t="s">
        <v>72</v>
      </c>
      <c r="K24" t="s">
        <v>72</v>
      </c>
      <c r="L24" t="s">
        <v>72</v>
      </c>
      <c r="M24" t="s">
        <v>72</v>
      </c>
      <c r="N24" t="b">
        <v>0</v>
      </c>
      <c r="O24" t="s">
        <v>76</v>
      </c>
      <c r="P24" s="57">
        <v>44084.540729166663</v>
      </c>
      <c r="Q24" t="s">
        <v>76</v>
      </c>
      <c r="R24" s="57">
        <v>44084.548217592594</v>
      </c>
      <c r="S24" t="s">
        <v>73</v>
      </c>
      <c r="T24" t="s">
        <v>74</v>
      </c>
      <c r="U24" t="s">
        <v>99</v>
      </c>
    </row>
    <row r="25" spans="1:21">
      <c r="A25" t="s">
        <v>110</v>
      </c>
      <c r="B25" t="s">
        <v>1021</v>
      </c>
      <c r="C25" t="s">
        <v>1022</v>
      </c>
      <c r="D25" t="s">
        <v>72</v>
      </c>
      <c r="E25" t="s">
        <v>769</v>
      </c>
      <c r="F25" t="s">
        <v>72</v>
      </c>
      <c r="G25" t="s">
        <v>72</v>
      </c>
      <c r="H25" t="s">
        <v>72</v>
      </c>
      <c r="I25" t="s">
        <v>72</v>
      </c>
      <c r="J25" t="s">
        <v>72</v>
      </c>
      <c r="K25" t="s">
        <v>72</v>
      </c>
      <c r="L25" t="s">
        <v>72</v>
      </c>
      <c r="M25" t="s">
        <v>72</v>
      </c>
      <c r="N25" t="b">
        <v>0</v>
      </c>
      <c r="O25" t="s">
        <v>76</v>
      </c>
      <c r="P25" s="57">
        <v>44084.547361111108</v>
      </c>
      <c r="R25" s="57"/>
      <c r="S25" t="s">
        <v>74</v>
      </c>
      <c r="T25" t="s">
        <v>74</v>
      </c>
      <c r="U25" t="s">
        <v>100</v>
      </c>
    </row>
    <row r="26" spans="1:21">
      <c r="A26" t="s">
        <v>116</v>
      </c>
      <c r="B26" t="s">
        <v>1023</v>
      </c>
      <c r="C26" t="s">
        <v>1023</v>
      </c>
      <c r="D26" t="s">
        <v>72</v>
      </c>
      <c r="E26" t="s">
        <v>769</v>
      </c>
      <c r="F26" t="s">
        <v>72</v>
      </c>
      <c r="G26" t="s">
        <v>72</v>
      </c>
      <c r="H26" t="s">
        <v>72</v>
      </c>
      <c r="I26" t="s">
        <v>72</v>
      </c>
      <c r="J26" t="s">
        <v>72</v>
      </c>
      <c r="K26" t="s">
        <v>72</v>
      </c>
      <c r="L26" t="s">
        <v>72</v>
      </c>
      <c r="M26" t="s">
        <v>72</v>
      </c>
      <c r="N26" t="b">
        <v>0</v>
      </c>
      <c r="O26" t="s">
        <v>76</v>
      </c>
      <c r="P26" s="57">
        <v>44084.547638888886</v>
      </c>
      <c r="R26" s="57"/>
      <c r="S26" t="s">
        <v>74</v>
      </c>
      <c r="T26" t="s">
        <v>74</v>
      </c>
      <c r="U26" t="s">
        <v>101</v>
      </c>
    </row>
    <row r="27" spans="1:21">
      <c r="A27" t="s">
        <v>896</v>
      </c>
      <c r="B27" t="s">
        <v>1024</v>
      </c>
      <c r="C27" t="s">
        <v>1024</v>
      </c>
      <c r="D27" t="s">
        <v>72</v>
      </c>
      <c r="E27" t="s">
        <v>769</v>
      </c>
      <c r="F27" t="s">
        <v>72</v>
      </c>
      <c r="G27" t="s">
        <v>72</v>
      </c>
      <c r="H27" t="s">
        <v>72</v>
      </c>
      <c r="I27" t="s">
        <v>72</v>
      </c>
      <c r="J27" t="s">
        <v>72</v>
      </c>
      <c r="K27" t="s">
        <v>72</v>
      </c>
      <c r="L27" t="s">
        <v>72</v>
      </c>
      <c r="M27" t="s">
        <v>72</v>
      </c>
      <c r="N27" t="b">
        <v>0</v>
      </c>
      <c r="O27" t="s">
        <v>76</v>
      </c>
      <c r="P27" s="57">
        <v>44084.678136574075</v>
      </c>
      <c r="R27" s="57"/>
      <c r="S27" t="s">
        <v>74</v>
      </c>
      <c r="T27" t="s">
        <v>74</v>
      </c>
      <c r="U27" t="s">
        <v>896</v>
      </c>
    </row>
  </sheetData>
  <phoneticPr fontId="5" type="noConversion"/>
  <pageMargins left="0.2" right="0.2" top="0.75" bottom="0.75" header="0.3" footer="0.3"/>
  <pageSetup paperSize="8" scale="63" fitToHeight="0" orientation="landscape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E95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.75"/>
  <cols>
    <col min="1" max="1" width="7.85546875" customWidth="1"/>
    <col min="2" max="3" width="22.85546875" bestFit="1" customWidth="1"/>
    <col min="4" max="4" width="7.5703125" customWidth="1"/>
    <col min="5" max="5" width="9.42578125" customWidth="1"/>
    <col min="6" max="6" width="12.42578125" customWidth="1"/>
    <col min="7" max="7" width="12.85546875" customWidth="1"/>
    <col min="8" max="8" width="13.7109375" customWidth="1"/>
    <col min="9" max="9" width="14.140625" customWidth="1"/>
    <col min="10" max="10" width="14.7109375" customWidth="1"/>
    <col min="11" max="11" width="12.85546875" customWidth="1"/>
    <col min="12" max="12" width="12.5703125" customWidth="1"/>
    <col min="13" max="13" width="12.85546875" style="11" hidden="1" customWidth="1"/>
    <col min="14" max="14" width="12.5703125" style="7" hidden="1" customWidth="1"/>
    <col min="15" max="15" width="7.5703125" hidden="1" customWidth="1"/>
    <col min="16" max="16" width="30.7109375" hidden="1" customWidth="1"/>
    <col min="17" max="18" width="10.85546875" hidden="1" customWidth="1"/>
    <col min="19" max="19" width="7.5703125" style="7" customWidth="1"/>
    <col min="20" max="20" width="30.7109375" customWidth="1"/>
    <col min="21" max="21" width="3" customWidth="1"/>
    <col min="22" max="22" width="9.85546875" customWidth="1"/>
    <col min="23" max="23" width="15.140625" customWidth="1"/>
    <col min="24" max="24" width="9.140625" style="7"/>
    <col min="25" max="25" width="35" bestFit="1" customWidth="1"/>
    <col min="26" max="26" width="9.140625" style="7"/>
    <col min="27" max="27" width="18.28515625" bestFit="1" customWidth="1"/>
    <col min="29" max="29" width="9.85546875" bestFit="1" customWidth="1"/>
    <col min="30" max="30" width="8.7109375" style="7" customWidth="1"/>
    <col min="31" max="31" width="36.7109375" style="7" bestFit="1" customWidth="1"/>
  </cols>
  <sheetData>
    <row r="1" spans="1:31" ht="41.25" customHeight="1">
      <c r="L1" s="7"/>
      <c r="Z1" s="12" t="s">
        <v>242</v>
      </c>
    </row>
    <row r="2" spans="1:31" ht="15">
      <c r="A2" t="s">
        <v>0</v>
      </c>
      <c r="B2" t="s">
        <v>52</v>
      </c>
      <c r="C2" t="s">
        <v>53</v>
      </c>
      <c r="D2" t="s">
        <v>129</v>
      </c>
      <c r="E2" t="s">
        <v>130</v>
      </c>
      <c r="F2" t="s">
        <v>65</v>
      </c>
      <c r="G2" t="s">
        <v>66</v>
      </c>
      <c r="H2" t="s">
        <v>67</v>
      </c>
      <c r="I2" t="s">
        <v>68</v>
      </c>
      <c r="J2" t="s">
        <v>69</v>
      </c>
      <c r="K2" t="s">
        <v>70</v>
      </c>
      <c r="L2" s="8" t="s">
        <v>0</v>
      </c>
      <c r="M2" s="8"/>
      <c r="N2" s="8"/>
      <c r="O2" s="1"/>
      <c r="P2" s="1"/>
      <c r="S2" s="12" t="s">
        <v>297</v>
      </c>
      <c r="T2" s="1" t="s">
        <v>128</v>
      </c>
      <c r="U2" s="1"/>
      <c r="V2" s="1" t="s">
        <v>129</v>
      </c>
      <c r="W2" t="s">
        <v>878</v>
      </c>
      <c r="X2" s="12" t="s">
        <v>475</v>
      </c>
      <c r="Y2" s="1" t="s">
        <v>892</v>
      </c>
      <c r="Z2" s="12" t="s">
        <v>321</v>
      </c>
      <c r="AA2" s="1" t="s">
        <v>893</v>
      </c>
      <c r="AB2" s="12" t="s">
        <v>183</v>
      </c>
      <c r="AC2" s="1" t="s">
        <v>893</v>
      </c>
      <c r="AD2" s="12" t="s">
        <v>454</v>
      </c>
      <c r="AE2" s="1" t="s">
        <v>823</v>
      </c>
    </row>
    <row r="3" spans="1:31">
      <c r="A3" t="s">
        <v>798</v>
      </c>
      <c r="B3" t="s">
        <v>1026</v>
      </c>
      <c r="C3" t="s">
        <v>1026</v>
      </c>
      <c r="D3" t="s">
        <v>475</v>
      </c>
      <c r="E3">
        <v>0</v>
      </c>
      <c r="F3" t="s">
        <v>38</v>
      </c>
      <c r="G3" s="57">
        <v>44090.711712962962</v>
      </c>
      <c r="I3" s="57"/>
      <c r="J3" t="s">
        <v>74</v>
      </c>
      <c r="K3" t="s">
        <v>74</v>
      </c>
      <c r="L3" s="7" t="s">
        <v>798</v>
      </c>
      <c r="M3" s="10"/>
      <c r="S3" s="7" t="s">
        <v>297</v>
      </c>
      <c r="T3" t="s">
        <v>296</v>
      </c>
      <c r="V3" s="15" t="s">
        <v>242</v>
      </c>
      <c r="W3" t="s">
        <v>1</v>
      </c>
      <c r="X3" s="7" t="s">
        <v>475</v>
      </c>
      <c r="Y3" t="s">
        <v>1026</v>
      </c>
      <c r="Z3" s="7" t="s">
        <v>242</v>
      </c>
      <c r="AA3" t="s">
        <v>241</v>
      </c>
      <c r="AB3" t="s">
        <v>183</v>
      </c>
      <c r="AC3" t="s">
        <v>182</v>
      </c>
      <c r="AD3" s="7" t="s">
        <v>454</v>
      </c>
      <c r="AE3" s="7" t="s">
        <v>453</v>
      </c>
    </row>
    <row r="4" spans="1:31">
      <c r="A4" t="s">
        <v>799</v>
      </c>
      <c r="B4" t="s">
        <v>1027</v>
      </c>
      <c r="C4" t="s">
        <v>1027</v>
      </c>
      <c r="D4" t="s">
        <v>475</v>
      </c>
      <c r="E4">
        <v>0</v>
      </c>
      <c r="F4" t="s">
        <v>38</v>
      </c>
      <c r="G4" s="57">
        <v>44090.715821759259</v>
      </c>
      <c r="I4" s="57"/>
      <c r="J4" t="s">
        <v>74</v>
      </c>
      <c r="K4" t="s">
        <v>74</v>
      </c>
      <c r="L4" s="7" t="s">
        <v>799</v>
      </c>
      <c r="M4" s="10"/>
      <c r="S4" s="7" t="s">
        <v>297</v>
      </c>
      <c r="T4" t="s">
        <v>299</v>
      </c>
      <c r="V4" s="17" t="s">
        <v>297</v>
      </c>
      <c r="W4" t="s">
        <v>128</v>
      </c>
      <c r="X4" s="7" t="s">
        <v>475</v>
      </c>
      <c r="Y4" t="s">
        <v>1027</v>
      </c>
      <c r="Z4" s="7" t="s">
        <v>242</v>
      </c>
      <c r="AA4" t="s">
        <v>244</v>
      </c>
      <c r="AB4" t="s">
        <v>183</v>
      </c>
      <c r="AC4" t="s">
        <v>185</v>
      </c>
      <c r="AD4" s="7" t="s">
        <v>454</v>
      </c>
      <c r="AE4" s="7" t="s">
        <v>456</v>
      </c>
    </row>
    <row r="5" spans="1:31">
      <c r="A5" t="s">
        <v>131</v>
      </c>
      <c r="B5" t="s">
        <v>132</v>
      </c>
      <c r="C5" t="s">
        <v>132</v>
      </c>
      <c r="D5" t="s">
        <v>133</v>
      </c>
      <c r="E5">
        <v>0.95</v>
      </c>
      <c r="F5" t="s">
        <v>38</v>
      </c>
      <c r="G5" s="57">
        <v>43736</v>
      </c>
      <c r="I5" s="57"/>
      <c r="J5" t="s">
        <v>74</v>
      </c>
      <c r="K5" t="s">
        <v>74</v>
      </c>
      <c r="L5" s="7" t="s">
        <v>131</v>
      </c>
      <c r="M5" s="10"/>
      <c r="S5" s="7" t="s">
        <v>297</v>
      </c>
      <c r="T5" t="s">
        <v>300</v>
      </c>
      <c r="V5" s="15" t="s">
        <v>321</v>
      </c>
      <c r="W5" t="s">
        <v>821</v>
      </c>
      <c r="X5" s="7" t="s">
        <v>475</v>
      </c>
      <c r="Y5" t="s">
        <v>474</v>
      </c>
      <c r="Z5" s="7" t="s">
        <v>242</v>
      </c>
      <c r="AA5" t="s">
        <v>246</v>
      </c>
      <c r="AB5" t="s">
        <v>183</v>
      </c>
      <c r="AC5" t="s">
        <v>187</v>
      </c>
      <c r="AD5" s="7" t="s">
        <v>454</v>
      </c>
      <c r="AE5" s="7" t="s">
        <v>458</v>
      </c>
    </row>
    <row r="6" spans="1:31">
      <c r="A6" t="s">
        <v>134</v>
      </c>
      <c r="B6" t="s">
        <v>135</v>
      </c>
      <c r="C6" t="s">
        <v>135</v>
      </c>
      <c r="D6" t="s">
        <v>133</v>
      </c>
      <c r="E6">
        <v>0.9</v>
      </c>
      <c r="F6" t="s">
        <v>38</v>
      </c>
      <c r="G6" s="57">
        <v>43736</v>
      </c>
      <c r="I6" s="57"/>
      <c r="J6" t="s">
        <v>74</v>
      </c>
      <c r="K6" t="s">
        <v>74</v>
      </c>
      <c r="L6" s="7" t="s">
        <v>134</v>
      </c>
      <c r="M6" s="10"/>
      <c r="S6" s="7" t="s">
        <v>297</v>
      </c>
      <c r="T6" t="s">
        <v>302</v>
      </c>
      <c r="V6" s="15" t="s">
        <v>415</v>
      </c>
      <c r="W6" s="18" t="s">
        <v>414</v>
      </c>
      <c r="X6" s="7" t="s">
        <v>475</v>
      </c>
      <c r="Y6" t="s">
        <v>477</v>
      </c>
      <c r="Z6" s="7" t="s">
        <v>242</v>
      </c>
      <c r="AA6" t="s">
        <v>248</v>
      </c>
      <c r="AB6" t="s">
        <v>183</v>
      </c>
      <c r="AC6" t="s">
        <v>189</v>
      </c>
      <c r="AD6" s="7" t="s">
        <v>454</v>
      </c>
      <c r="AE6" s="7" t="s">
        <v>460</v>
      </c>
    </row>
    <row r="7" spans="1:31">
      <c r="A7" t="s">
        <v>136</v>
      </c>
      <c r="B7" t="s">
        <v>137</v>
      </c>
      <c r="C7" t="s">
        <v>138</v>
      </c>
      <c r="D7" t="s">
        <v>133</v>
      </c>
      <c r="E7">
        <v>1.35</v>
      </c>
      <c r="F7" t="s">
        <v>38</v>
      </c>
      <c r="G7" s="57">
        <v>43736</v>
      </c>
      <c r="I7" s="57"/>
      <c r="J7" t="s">
        <v>74</v>
      </c>
      <c r="K7" t="s">
        <v>74</v>
      </c>
      <c r="L7" s="7" t="s">
        <v>136</v>
      </c>
      <c r="M7" s="10"/>
      <c r="S7" s="7" t="s">
        <v>297</v>
      </c>
      <c r="T7" t="s">
        <v>304</v>
      </c>
      <c r="V7" s="15" t="s">
        <v>441</v>
      </c>
      <c r="W7" t="s">
        <v>822</v>
      </c>
      <c r="X7" s="7" t="s">
        <v>475</v>
      </c>
      <c r="Y7" t="s">
        <v>479</v>
      </c>
      <c r="Z7" s="7" t="s">
        <v>242</v>
      </c>
      <c r="AA7" t="s">
        <v>250</v>
      </c>
      <c r="AB7" t="s">
        <v>183</v>
      </c>
      <c r="AC7" t="s">
        <v>191</v>
      </c>
      <c r="AD7" s="7" t="s">
        <v>454</v>
      </c>
      <c r="AE7" s="7" t="s">
        <v>462</v>
      </c>
    </row>
    <row r="8" spans="1:31">
      <c r="A8" t="s">
        <v>139</v>
      </c>
      <c r="B8" t="s">
        <v>140</v>
      </c>
      <c r="C8" t="s">
        <v>140</v>
      </c>
      <c r="D8" t="s">
        <v>133</v>
      </c>
      <c r="E8">
        <v>1.4</v>
      </c>
      <c r="F8" t="s">
        <v>38</v>
      </c>
      <c r="G8" s="57">
        <v>43736</v>
      </c>
      <c r="I8" s="57"/>
      <c r="J8" t="s">
        <v>74</v>
      </c>
      <c r="K8" t="s">
        <v>74</v>
      </c>
      <c r="L8" s="7" t="s">
        <v>139</v>
      </c>
      <c r="M8" s="10"/>
      <c r="S8" s="7" t="s">
        <v>297</v>
      </c>
      <c r="T8" t="s">
        <v>305</v>
      </c>
      <c r="V8" s="15" t="s">
        <v>144</v>
      </c>
      <c r="W8" t="s">
        <v>816</v>
      </c>
      <c r="X8" s="7" t="s">
        <v>475</v>
      </c>
      <c r="Y8" t="s">
        <v>481</v>
      </c>
      <c r="Z8" s="7" t="s">
        <v>242</v>
      </c>
      <c r="AA8" t="s">
        <v>252</v>
      </c>
      <c r="AD8" s="7" t="s">
        <v>454</v>
      </c>
      <c r="AE8" s="7" t="s">
        <v>464</v>
      </c>
    </row>
    <row r="9" spans="1:31">
      <c r="A9" t="s">
        <v>141</v>
      </c>
      <c r="B9" t="s">
        <v>142</v>
      </c>
      <c r="C9" t="s">
        <v>143</v>
      </c>
      <c r="D9" t="s">
        <v>144</v>
      </c>
      <c r="E9">
        <v>1</v>
      </c>
      <c r="F9" t="s">
        <v>38</v>
      </c>
      <c r="G9" s="57">
        <v>43736</v>
      </c>
      <c r="I9" s="57"/>
      <c r="J9" t="s">
        <v>74</v>
      </c>
      <c r="K9" t="s">
        <v>74</v>
      </c>
      <c r="L9" s="7" t="s">
        <v>141</v>
      </c>
      <c r="M9" s="10"/>
      <c r="S9" s="7" t="s">
        <v>297</v>
      </c>
      <c r="T9" t="s">
        <v>306</v>
      </c>
      <c r="V9" s="15" t="s">
        <v>523</v>
      </c>
      <c r="W9" t="s">
        <v>827</v>
      </c>
      <c r="X9" s="7" t="s">
        <v>475</v>
      </c>
      <c r="Y9" t="s">
        <v>483</v>
      </c>
      <c r="Z9" s="7" t="s">
        <v>242</v>
      </c>
      <c r="AA9" t="s">
        <v>254</v>
      </c>
      <c r="AD9" s="7" t="s">
        <v>454</v>
      </c>
      <c r="AE9" s="7" t="s">
        <v>466</v>
      </c>
    </row>
    <row r="10" spans="1:31">
      <c r="A10" t="s">
        <v>145</v>
      </c>
      <c r="B10" t="s">
        <v>146</v>
      </c>
      <c r="C10" t="s">
        <v>147</v>
      </c>
      <c r="D10" t="s">
        <v>144</v>
      </c>
      <c r="E10">
        <v>2</v>
      </c>
      <c r="F10" t="s">
        <v>38</v>
      </c>
      <c r="G10" s="57">
        <v>43736</v>
      </c>
      <c r="I10" s="57"/>
      <c r="J10" t="s">
        <v>74</v>
      </c>
      <c r="K10" t="s">
        <v>74</v>
      </c>
      <c r="L10" s="7" t="s">
        <v>145</v>
      </c>
      <c r="M10" s="10"/>
      <c r="S10" s="7" t="s">
        <v>297</v>
      </c>
      <c r="T10" t="s">
        <v>308</v>
      </c>
      <c r="V10" s="15" t="s">
        <v>237</v>
      </c>
      <c r="W10" t="s">
        <v>820</v>
      </c>
      <c r="X10" s="7" t="s">
        <v>475</v>
      </c>
      <c r="Y10" t="s">
        <v>462</v>
      </c>
      <c r="Z10" s="7" t="s">
        <v>242</v>
      </c>
      <c r="AA10" t="s">
        <v>256</v>
      </c>
      <c r="AD10" s="7" t="s">
        <v>454</v>
      </c>
      <c r="AE10" s="7" t="s">
        <v>468</v>
      </c>
    </row>
    <row r="11" spans="1:31">
      <c r="A11" t="s">
        <v>148</v>
      </c>
      <c r="B11" t="s">
        <v>149</v>
      </c>
      <c r="C11" t="s">
        <v>150</v>
      </c>
      <c r="D11" t="s">
        <v>144</v>
      </c>
      <c r="E11">
        <v>3</v>
      </c>
      <c r="F11" t="s">
        <v>38</v>
      </c>
      <c r="G11" s="57">
        <v>43736</v>
      </c>
      <c r="H11" t="s">
        <v>38</v>
      </c>
      <c r="I11" s="57">
        <v>43864.528252314813</v>
      </c>
      <c r="J11" t="s">
        <v>73</v>
      </c>
      <c r="K11" t="s">
        <v>74</v>
      </c>
      <c r="L11" s="7" t="s">
        <v>148</v>
      </c>
      <c r="M11" s="10"/>
      <c r="S11" s="7" t="s">
        <v>297</v>
      </c>
      <c r="T11" t="s">
        <v>309</v>
      </c>
      <c r="V11" s="15" t="s">
        <v>200</v>
      </c>
      <c r="W11" s="20" t="s">
        <v>819</v>
      </c>
      <c r="X11" s="7" t="s">
        <v>475</v>
      </c>
      <c r="Y11" t="s">
        <v>486</v>
      </c>
      <c r="Z11" s="7" t="s">
        <v>242</v>
      </c>
      <c r="AA11" t="s">
        <v>258</v>
      </c>
      <c r="AD11" s="7" t="s">
        <v>454</v>
      </c>
      <c r="AE11" s="7" t="s">
        <v>470</v>
      </c>
    </row>
    <row r="12" spans="1:31">
      <c r="A12" t="s">
        <v>151</v>
      </c>
      <c r="B12" t="s">
        <v>152</v>
      </c>
      <c r="C12" t="s">
        <v>153</v>
      </c>
      <c r="D12" t="s">
        <v>144</v>
      </c>
      <c r="E12">
        <v>4</v>
      </c>
      <c r="F12" t="s">
        <v>38</v>
      </c>
      <c r="G12" s="57">
        <v>43736</v>
      </c>
      <c r="I12" s="57"/>
      <c r="J12" t="s">
        <v>74</v>
      </c>
      <c r="K12" t="s">
        <v>74</v>
      </c>
      <c r="L12" s="7" t="s">
        <v>151</v>
      </c>
      <c r="M12" s="10"/>
      <c r="S12" s="7" t="s">
        <v>297</v>
      </c>
      <c r="T12" t="s">
        <v>311</v>
      </c>
      <c r="V12" s="15" t="s">
        <v>450</v>
      </c>
      <c r="W12" s="18" t="s">
        <v>451</v>
      </c>
      <c r="X12" s="7" t="s">
        <v>475</v>
      </c>
      <c r="Y12" t="s">
        <v>488</v>
      </c>
      <c r="Z12" s="7" t="s">
        <v>242</v>
      </c>
      <c r="AA12" t="s">
        <v>260</v>
      </c>
      <c r="AD12" s="7" t="s">
        <v>454</v>
      </c>
      <c r="AE12" s="7" t="s">
        <v>472</v>
      </c>
    </row>
    <row r="13" spans="1:31">
      <c r="A13" t="s">
        <v>154</v>
      </c>
      <c r="B13" t="s">
        <v>155</v>
      </c>
      <c r="C13" t="s">
        <v>156</v>
      </c>
      <c r="D13" t="s">
        <v>144</v>
      </c>
      <c r="E13">
        <v>5</v>
      </c>
      <c r="F13" t="s">
        <v>38</v>
      </c>
      <c r="G13" s="57">
        <v>43736</v>
      </c>
      <c r="I13" s="57"/>
      <c r="J13" t="s">
        <v>74</v>
      </c>
      <c r="K13" t="s">
        <v>74</v>
      </c>
      <c r="L13" s="7" t="s">
        <v>154</v>
      </c>
      <c r="M13" s="10"/>
      <c r="S13" s="7" t="s">
        <v>297</v>
      </c>
      <c r="T13" t="s">
        <v>312</v>
      </c>
      <c r="V13" s="15" t="s">
        <v>454</v>
      </c>
      <c r="W13" s="19" t="s">
        <v>823</v>
      </c>
      <c r="X13" s="7" t="s">
        <v>475</v>
      </c>
      <c r="Y13" t="s">
        <v>490</v>
      </c>
      <c r="Z13" s="7" t="s">
        <v>242</v>
      </c>
      <c r="AA13" t="s">
        <v>262</v>
      </c>
      <c r="AD13" s="7" t="s">
        <v>454</v>
      </c>
      <c r="AE13" s="7" t="s">
        <v>529</v>
      </c>
    </row>
    <row r="14" spans="1:31">
      <c r="A14" t="s">
        <v>157</v>
      </c>
      <c r="B14" t="s">
        <v>158</v>
      </c>
      <c r="C14" t="s">
        <v>159</v>
      </c>
      <c r="D14" t="s">
        <v>144</v>
      </c>
      <c r="E14">
        <v>6</v>
      </c>
      <c r="F14" t="s">
        <v>38</v>
      </c>
      <c r="G14" s="57">
        <v>43736</v>
      </c>
      <c r="I14" s="57"/>
      <c r="J14" t="s">
        <v>74</v>
      </c>
      <c r="K14" t="s">
        <v>74</v>
      </c>
      <c r="L14" s="7" t="s">
        <v>157</v>
      </c>
      <c r="M14" s="10"/>
      <c r="S14" s="7" t="s">
        <v>297</v>
      </c>
      <c r="T14" t="s">
        <v>313</v>
      </c>
      <c r="V14" s="15" t="s">
        <v>475</v>
      </c>
      <c r="W14" s="18" t="s">
        <v>824</v>
      </c>
      <c r="X14" s="7" t="s">
        <v>475</v>
      </c>
      <c r="Y14" t="s">
        <v>572</v>
      </c>
      <c r="Z14" s="7" t="s">
        <v>242</v>
      </c>
      <c r="AA14" t="s">
        <v>264</v>
      </c>
      <c r="AD14" s="7" t="s">
        <v>454</v>
      </c>
      <c r="AE14" s="7" t="s">
        <v>1038</v>
      </c>
    </row>
    <row r="15" spans="1:31">
      <c r="A15" t="s">
        <v>160</v>
      </c>
      <c r="B15" t="s">
        <v>161</v>
      </c>
      <c r="C15" t="s">
        <v>161</v>
      </c>
      <c r="D15" t="s">
        <v>162</v>
      </c>
      <c r="E15">
        <v>0</v>
      </c>
      <c r="F15" t="s">
        <v>38</v>
      </c>
      <c r="G15" s="57">
        <v>43652.513553240744</v>
      </c>
      <c r="H15" t="s">
        <v>38</v>
      </c>
      <c r="I15" s="57">
        <v>43652.608229166668</v>
      </c>
      <c r="J15" t="s">
        <v>73</v>
      </c>
      <c r="K15" t="s">
        <v>74</v>
      </c>
      <c r="L15" s="7" t="s">
        <v>160</v>
      </c>
      <c r="M15" s="10"/>
      <c r="S15" s="7" t="s">
        <v>297</v>
      </c>
      <c r="T15" t="s">
        <v>314</v>
      </c>
      <c r="V15" s="15" t="s">
        <v>493</v>
      </c>
      <c r="W15" s="19" t="s">
        <v>825</v>
      </c>
      <c r="X15" s="7" t="s">
        <v>475</v>
      </c>
      <c r="Y15" t="s">
        <v>1033</v>
      </c>
      <c r="Z15" s="7" t="s">
        <v>242</v>
      </c>
      <c r="AA15" t="s">
        <v>266</v>
      </c>
      <c r="AD15" s="7" t="s">
        <v>454</v>
      </c>
      <c r="AE15" s="7" t="s">
        <v>1065</v>
      </c>
    </row>
    <row r="16" spans="1:31">
      <c r="A16" t="s">
        <v>163</v>
      </c>
      <c r="B16" t="s">
        <v>164</v>
      </c>
      <c r="C16" t="s">
        <v>164</v>
      </c>
      <c r="D16" t="s">
        <v>162</v>
      </c>
      <c r="E16">
        <v>0</v>
      </c>
      <c r="F16" t="s">
        <v>38</v>
      </c>
      <c r="G16" s="57">
        <v>43652.513553240744</v>
      </c>
      <c r="H16" t="s">
        <v>38</v>
      </c>
      <c r="I16" s="57">
        <v>43652.608229166668</v>
      </c>
      <c r="J16" t="s">
        <v>73</v>
      </c>
      <c r="K16" t="s">
        <v>74</v>
      </c>
      <c r="L16" s="7" t="s">
        <v>163</v>
      </c>
      <c r="M16" s="10"/>
      <c r="S16" s="7" t="s">
        <v>297</v>
      </c>
      <c r="T16" t="s">
        <v>316</v>
      </c>
      <c r="V16" s="15" t="s">
        <v>516</v>
      </c>
      <c r="W16" s="18" t="s">
        <v>826</v>
      </c>
      <c r="X16" s="7" t="s">
        <v>475</v>
      </c>
      <c r="Y16" t="s">
        <v>802</v>
      </c>
      <c r="Z16" s="7" t="s">
        <v>242</v>
      </c>
      <c r="AA16" t="s">
        <v>268</v>
      </c>
      <c r="AD16" s="7" t="s">
        <v>454</v>
      </c>
      <c r="AE16" s="7" t="s">
        <v>1069</v>
      </c>
    </row>
    <row r="17" spans="1:31">
      <c r="A17" t="s">
        <v>165</v>
      </c>
      <c r="B17" t="s">
        <v>166</v>
      </c>
      <c r="C17" t="s">
        <v>166</v>
      </c>
      <c r="D17" t="s">
        <v>162</v>
      </c>
      <c r="E17">
        <v>0</v>
      </c>
      <c r="F17" t="s">
        <v>38</v>
      </c>
      <c r="G17" s="57">
        <v>43652.513553240744</v>
      </c>
      <c r="H17" t="s">
        <v>38</v>
      </c>
      <c r="I17" s="57">
        <v>43652.608229166668</v>
      </c>
      <c r="J17" t="s">
        <v>73</v>
      </c>
      <c r="K17" t="s">
        <v>74</v>
      </c>
      <c r="L17" s="7" t="s">
        <v>165</v>
      </c>
      <c r="M17" s="10"/>
      <c r="S17" s="7" t="s">
        <v>297</v>
      </c>
      <c r="T17" t="s">
        <v>318</v>
      </c>
      <c r="V17" s="15" t="s">
        <v>133</v>
      </c>
      <c r="W17" s="16" t="s">
        <v>815</v>
      </c>
      <c r="X17" s="7" t="s">
        <v>475</v>
      </c>
      <c r="Y17" t="s">
        <v>1035</v>
      </c>
      <c r="Z17" s="7" t="s">
        <v>242</v>
      </c>
      <c r="AA17" t="s">
        <v>270</v>
      </c>
      <c r="AD17" s="7" t="s">
        <v>454</v>
      </c>
      <c r="AE17" s="7" t="s">
        <v>1071</v>
      </c>
    </row>
    <row r="18" spans="1:31">
      <c r="A18" t="s">
        <v>167</v>
      </c>
      <c r="B18" t="s">
        <v>168</v>
      </c>
      <c r="C18" t="s">
        <v>168</v>
      </c>
      <c r="D18" t="s">
        <v>162</v>
      </c>
      <c r="E18">
        <v>0</v>
      </c>
      <c r="F18" t="s">
        <v>38</v>
      </c>
      <c r="G18" s="57">
        <v>43652.513553240744</v>
      </c>
      <c r="H18" t="s">
        <v>38</v>
      </c>
      <c r="I18" s="57">
        <v>43652.608229166668</v>
      </c>
      <c r="J18" t="s">
        <v>73</v>
      </c>
      <c r="K18" t="s">
        <v>74</v>
      </c>
      <c r="L18" s="7" t="s">
        <v>167</v>
      </c>
      <c r="M18" s="10"/>
      <c r="S18" s="7" t="s">
        <v>297</v>
      </c>
      <c r="T18" t="s">
        <v>533</v>
      </c>
      <c r="V18" s="15" t="s">
        <v>162</v>
      </c>
      <c r="W18" s="16" t="s">
        <v>817</v>
      </c>
      <c r="X18" s="7" t="s">
        <v>475</v>
      </c>
      <c r="Y18" t="s">
        <v>1036</v>
      </c>
      <c r="Z18" s="7" t="s">
        <v>242</v>
      </c>
      <c r="AA18" t="s">
        <v>272</v>
      </c>
      <c r="AD18" s="7" t="s">
        <v>454</v>
      </c>
      <c r="AE18" s="7" t="s">
        <v>1075</v>
      </c>
    </row>
    <row r="19" spans="1:31">
      <c r="A19" t="s">
        <v>169</v>
      </c>
      <c r="B19" t="s">
        <v>170</v>
      </c>
      <c r="C19" t="s">
        <v>170</v>
      </c>
      <c r="D19" t="s">
        <v>162</v>
      </c>
      <c r="E19">
        <v>0</v>
      </c>
      <c r="F19" t="s">
        <v>38</v>
      </c>
      <c r="G19" s="57">
        <v>43652.513553240744</v>
      </c>
      <c r="H19" t="s">
        <v>38</v>
      </c>
      <c r="I19" s="57">
        <v>43652.608229166668</v>
      </c>
      <c r="J19" t="s">
        <v>73</v>
      </c>
      <c r="K19" t="s">
        <v>74</v>
      </c>
      <c r="L19" s="7" t="s">
        <v>169</v>
      </c>
      <c r="M19" s="10"/>
      <c r="S19" s="7" t="s">
        <v>297</v>
      </c>
      <c r="T19" t="s">
        <v>1032</v>
      </c>
      <c r="V19" s="15" t="s">
        <v>183</v>
      </c>
      <c r="W19" s="21" t="s">
        <v>818</v>
      </c>
      <c r="X19" s="7" t="s">
        <v>475</v>
      </c>
      <c r="Y19" t="s">
        <v>1037</v>
      </c>
      <c r="Z19" s="7" t="s">
        <v>242</v>
      </c>
      <c r="AA19" t="s">
        <v>274</v>
      </c>
      <c r="AD19" s="7" t="s">
        <v>454</v>
      </c>
      <c r="AE19" s="7" t="s">
        <v>1076</v>
      </c>
    </row>
    <row r="20" spans="1:31">
      <c r="A20" t="s">
        <v>171</v>
      </c>
      <c r="B20" t="s">
        <v>172</v>
      </c>
      <c r="C20" t="s">
        <v>172</v>
      </c>
      <c r="D20" t="s">
        <v>162</v>
      </c>
      <c r="E20">
        <v>0</v>
      </c>
      <c r="F20" t="s">
        <v>38</v>
      </c>
      <c r="G20" s="57">
        <v>43652.513553240744</v>
      </c>
      <c r="H20" t="s">
        <v>38</v>
      </c>
      <c r="I20" s="57">
        <v>43652.608229166668</v>
      </c>
      <c r="J20" t="s">
        <v>73</v>
      </c>
      <c r="K20" t="s">
        <v>74</v>
      </c>
      <c r="L20" s="7" t="s">
        <v>171</v>
      </c>
      <c r="M20" s="10"/>
      <c r="S20" s="7" t="s">
        <v>297</v>
      </c>
      <c r="T20" t="s">
        <v>655</v>
      </c>
      <c r="X20" s="7" t="s">
        <v>475</v>
      </c>
      <c r="Y20" t="s">
        <v>1039</v>
      </c>
      <c r="Z20" s="7" t="s">
        <v>242</v>
      </c>
      <c r="AA20" t="s">
        <v>276</v>
      </c>
    </row>
    <row r="21" spans="1:31">
      <c r="A21" t="s">
        <v>173</v>
      </c>
      <c r="B21" t="s">
        <v>174</v>
      </c>
      <c r="C21" t="s">
        <v>174</v>
      </c>
      <c r="D21" t="s">
        <v>162</v>
      </c>
      <c r="E21">
        <v>0</v>
      </c>
      <c r="F21" t="s">
        <v>38</v>
      </c>
      <c r="G21" s="57">
        <v>43652.513553240744</v>
      </c>
      <c r="H21" t="s">
        <v>38</v>
      </c>
      <c r="I21" s="57">
        <v>43652.608229166668</v>
      </c>
      <c r="J21" t="s">
        <v>73</v>
      </c>
      <c r="K21" t="s">
        <v>74</v>
      </c>
      <c r="L21" s="7" t="s">
        <v>173</v>
      </c>
      <c r="M21" s="10"/>
      <c r="S21" s="7" t="s">
        <v>297</v>
      </c>
      <c r="T21" t="s">
        <v>1057</v>
      </c>
      <c r="X21" s="7" t="s">
        <v>475</v>
      </c>
      <c r="Y21" t="s">
        <v>1040</v>
      </c>
      <c r="Z21" s="7" t="s">
        <v>242</v>
      </c>
      <c r="AA21" t="s">
        <v>278</v>
      </c>
    </row>
    <row r="22" spans="1:31">
      <c r="A22" t="s">
        <v>175</v>
      </c>
      <c r="B22" t="s">
        <v>176</v>
      </c>
      <c r="C22" t="s">
        <v>176</v>
      </c>
      <c r="D22" t="s">
        <v>162</v>
      </c>
      <c r="E22">
        <v>0</v>
      </c>
      <c r="F22" t="s">
        <v>38</v>
      </c>
      <c r="G22" s="57">
        <v>43652.513553240744</v>
      </c>
      <c r="H22" t="s">
        <v>38</v>
      </c>
      <c r="I22" s="57">
        <v>43652.608229166668</v>
      </c>
      <c r="J22" t="s">
        <v>73</v>
      </c>
      <c r="K22" t="s">
        <v>74</v>
      </c>
      <c r="L22" s="7" t="s">
        <v>175</v>
      </c>
      <c r="M22" s="10"/>
      <c r="X22" s="7" t="s">
        <v>475</v>
      </c>
      <c r="Y22" t="s">
        <v>464</v>
      </c>
      <c r="Z22" s="7" t="s">
        <v>242</v>
      </c>
      <c r="AA22" t="s">
        <v>280</v>
      </c>
    </row>
    <row r="23" spans="1:31">
      <c r="A23" t="s">
        <v>177</v>
      </c>
      <c r="B23" t="s">
        <v>178</v>
      </c>
      <c r="C23" t="s">
        <v>178</v>
      </c>
      <c r="D23" t="s">
        <v>162</v>
      </c>
      <c r="E23">
        <v>0</v>
      </c>
      <c r="F23" t="s">
        <v>38</v>
      </c>
      <c r="G23" s="57">
        <v>43652.513553240744</v>
      </c>
      <c r="H23" t="s">
        <v>38</v>
      </c>
      <c r="I23" s="57">
        <v>43652.608229166668</v>
      </c>
      <c r="J23" t="s">
        <v>73</v>
      </c>
      <c r="K23" t="s">
        <v>74</v>
      </c>
      <c r="L23" s="7" t="s">
        <v>177</v>
      </c>
      <c r="M23" s="10"/>
      <c r="X23" s="7" t="s">
        <v>475</v>
      </c>
      <c r="Y23" t="s">
        <v>1042</v>
      </c>
      <c r="Z23" s="7" t="s">
        <v>242</v>
      </c>
      <c r="AA23" t="s">
        <v>282</v>
      </c>
    </row>
    <row r="24" spans="1:31">
      <c r="A24" t="s">
        <v>179</v>
      </c>
      <c r="B24" t="s">
        <v>180</v>
      </c>
      <c r="C24" t="s">
        <v>180</v>
      </c>
      <c r="D24" t="s">
        <v>162</v>
      </c>
      <c r="E24">
        <v>0</v>
      </c>
      <c r="F24" t="s">
        <v>38</v>
      </c>
      <c r="G24" s="57">
        <v>43652.513553240744</v>
      </c>
      <c r="H24" t="s">
        <v>38</v>
      </c>
      <c r="I24" s="57">
        <v>43652.608229166668</v>
      </c>
      <c r="J24" t="s">
        <v>73</v>
      </c>
      <c r="K24" t="s">
        <v>74</v>
      </c>
      <c r="L24" s="7" t="s">
        <v>179</v>
      </c>
      <c r="M24" s="10"/>
      <c r="X24" s="7" t="s">
        <v>475</v>
      </c>
      <c r="Y24" t="s">
        <v>1043</v>
      </c>
      <c r="Z24" s="7" t="s">
        <v>242</v>
      </c>
      <c r="AA24" t="s">
        <v>284</v>
      </c>
    </row>
    <row r="25" spans="1:31">
      <c r="A25" t="s">
        <v>181</v>
      </c>
      <c r="B25" t="s">
        <v>182</v>
      </c>
      <c r="C25" t="s">
        <v>182</v>
      </c>
      <c r="D25" t="s">
        <v>183</v>
      </c>
      <c r="E25">
        <v>1</v>
      </c>
      <c r="F25" t="s">
        <v>38</v>
      </c>
      <c r="G25" s="57">
        <v>43652.513553240744</v>
      </c>
      <c r="H25" t="s">
        <v>38</v>
      </c>
      <c r="I25" s="57">
        <v>43652.608229166668</v>
      </c>
      <c r="J25" t="s">
        <v>73</v>
      </c>
      <c r="K25" t="s">
        <v>74</v>
      </c>
      <c r="L25" s="7" t="s">
        <v>181</v>
      </c>
      <c r="M25" s="10"/>
      <c r="X25" s="7" t="s">
        <v>475</v>
      </c>
      <c r="Y25" t="s">
        <v>1046</v>
      </c>
      <c r="Z25" s="7" t="s">
        <v>242</v>
      </c>
      <c r="AA25" t="s">
        <v>286</v>
      </c>
    </row>
    <row r="26" spans="1:31">
      <c r="A26" t="s">
        <v>184</v>
      </c>
      <c r="B26" t="s">
        <v>185</v>
      </c>
      <c r="C26" t="s">
        <v>185</v>
      </c>
      <c r="D26" t="s">
        <v>183</v>
      </c>
      <c r="E26">
        <v>1</v>
      </c>
      <c r="F26" t="s">
        <v>38</v>
      </c>
      <c r="G26" s="57">
        <v>43652.513553240744</v>
      </c>
      <c r="H26" t="s">
        <v>38</v>
      </c>
      <c r="I26" s="57">
        <v>43652.608229166668</v>
      </c>
      <c r="J26" t="s">
        <v>73</v>
      </c>
      <c r="K26" t="s">
        <v>74</v>
      </c>
      <c r="L26" s="7" t="s">
        <v>184</v>
      </c>
      <c r="M26" s="10"/>
      <c r="X26" s="7" t="s">
        <v>475</v>
      </c>
      <c r="Y26" t="s">
        <v>1049</v>
      </c>
      <c r="Z26" s="7" t="s">
        <v>242</v>
      </c>
      <c r="AA26" t="s">
        <v>288</v>
      </c>
    </row>
    <row r="27" spans="1:31">
      <c r="A27" t="s">
        <v>186</v>
      </c>
      <c r="B27" t="s">
        <v>187</v>
      </c>
      <c r="C27" t="s">
        <v>187</v>
      </c>
      <c r="D27" t="s">
        <v>183</v>
      </c>
      <c r="E27">
        <v>100</v>
      </c>
      <c r="F27" t="s">
        <v>38</v>
      </c>
      <c r="G27" s="57">
        <v>43652.513553240744</v>
      </c>
      <c r="H27" t="s">
        <v>38</v>
      </c>
      <c r="I27" s="57">
        <v>43652.608229166668</v>
      </c>
      <c r="J27" t="s">
        <v>73</v>
      </c>
      <c r="K27" t="s">
        <v>74</v>
      </c>
      <c r="L27" s="7" t="s">
        <v>186</v>
      </c>
      <c r="M27" s="10"/>
      <c r="X27" s="7" t="s">
        <v>475</v>
      </c>
      <c r="Y27" t="s">
        <v>1050</v>
      </c>
      <c r="Z27" s="7" t="s">
        <v>242</v>
      </c>
      <c r="AA27" t="s">
        <v>290</v>
      </c>
    </row>
    <row r="28" spans="1:31">
      <c r="A28" t="s">
        <v>188</v>
      </c>
      <c r="B28" t="s">
        <v>189</v>
      </c>
      <c r="C28" t="s">
        <v>189</v>
      </c>
      <c r="D28" t="s">
        <v>183</v>
      </c>
      <c r="E28">
        <v>1000</v>
      </c>
      <c r="F28" t="s">
        <v>38</v>
      </c>
      <c r="G28" s="57">
        <v>43652.513553240744</v>
      </c>
      <c r="H28" t="s">
        <v>38</v>
      </c>
      <c r="I28" s="57">
        <v>43652.608229166668</v>
      </c>
      <c r="J28" t="s">
        <v>73</v>
      </c>
      <c r="K28" t="s">
        <v>74</v>
      </c>
      <c r="L28" s="7" t="s">
        <v>188</v>
      </c>
      <c r="M28" s="10"/>
      <c r="X28" s="7" t="s">
        <v>475</v>
      </c>
      <c r="Y28" t="s">
        <v>1052</v>
      </c>
      <c r="Z28" s="7" t="s">
        <v>242</v>
      </c>
      <c r="AA28" t="s">
        <v>292</v>
      </c>
    </row>
    <row r="29" spans="1:31">
      <c r="A29" t="s">
        <v>190</v>
      </c>
      <c r="B29" t="s">
        <v>191</v>
      </c>
      <c r="C29" t="s">
        <v>191</v>
      </c>
      <c r="D29" t="s">
        <v>183</v>
      </c>
      <c r="E29">
        <v>1000</v>
      </c>
      <c r="F29" t="s">
        <v>38</v>
      </c>
      <c r="G29" s="57">
        <v>43652.513553240744</v>
      </c>
      <c r="H29" t="s">
        <v>38</v>
      </c>
      <c r="I29" s="57">
        <v>43652.608229166668</v>
      </c>
      <c r="J29" t="s">
        <v>73</v>
      </c>
      <c r="K29" t="s">
        <v>74</v>
      </c>
      <c r="L29" s="7" t="s">
        <v>190</v>
      </c>
      <c r="M29" s="10"/>
      <c r="X29" s="7" t="s">
        <v>475</v>
      </c>
      <c r="Y29" t="s">
        <v>453</v>
      </c>
      <c r="Z29" s="7" t="s">
        <v>242</v>
      </c>
      <c r="AA29" t="s">
        <v>294</v>
      </c>
    </row>
    <row r="30" spans="1:31">
      <c r="A30" t="s">
        <v>192</v>
      </c>
      <c r="B30" t="s">
        <v>161</v>
      </c>
      <c r="C30" t="s">
        <v>161</v>
      </c>
      <c r="D30" t="s">
        <v>162</v>
      </c>
      <c r="E30">
        <v>0</v>
      </c>
      <c r="F30" t="s">
        <v>38</v>
      </c>
      <c r="G30" s="57">
        <v>43652.513553240744</v>
      </c>
      <c r="H30" t="s">
        <v>38</v>
      </c>
      <c r="I30" s="57">
        <v>43652.608229166668</v>
      </c>
      <c r="J30" t="s">
        <v>73</v>
      </c>
      <c r="K30" t="s">
        <v>74</v>
      </c>
      <c r="L30" s="7" t="s">
        <v>192</v>
      </c>
      <c r="M30" s="10"/>
      <c r="X30" s="7" t="s">
        <v>475</v>
      </c>
      <c r="Y30" t="s">
        <v>1053</v>
      </c>
      <c r="Z30" s="7" t="s">
        <v>321</v>
      </c>
      <c r="AA30" t="s">
        <v>323</v>
      </c>
    </row>
    <row r="31" spans="1:31">
      <c r="A31" t="s">
        <v>193</v>
      </c>
      <c r="B31" t="s">
        <v>194</v>
      </c>
      <c r="C31" t="s">
        <v>194</v>
      </c>
      <c r="D31" t="s">
        <v>162</v>
      </c>
      <c r="E31">
        <v>0</v>
      </c>
      <c r="F31" t="s">
        <v>38</v>
      </c>
      <c r="G31" s="57">
        <v>43652.513553240744</v>
      </c>
      <c r="H31" t="s">
        <v>38</v>
      </c>
      <c r="I31" s="57">
        <v>43652.608229166668</v>
      </c>
      <c r="J31" t="s">
        <v>73</v>
      </c>
      <c r="K31" t="s">
        <v>74</v>
      </c>
      <c r="L31" s="7" t="s">
        <v>193</v>
      </c>
      <c r="M31" s="10"/>
      <c r="X31" s="7" t="s">
        <v>475</v>
      </c>
      <c r="Y31" t="s">
        <v>1054</v>
      </c>
      <c r="Z31" s="7" t="s">
        <v>321</v>
      </c>
      <c r="AA31" t="s">
        <v>325</v>
      </c>
    </row>
    <row r="32" spans="1:31">
      <c r="A32" t="s">
        <v>195</v>
      </c>
      <c r="B32" t="s">
        <v>196</v>
      </c>
      <c r="C32" t="s">
        <v>196</v>
      </c>
      <c r="D32" t="s">
        <v>162</v>
      </c>
      <c r="E32">
        <v>0</v>
      </c>
      <c r="F32" t="s">
        <v>38</v>
      </c>
      <c r="G32" s="57">
        <v>43652.513553240744</v>
      </c>
      <c r="H32" t="s">
        <v>38</v>
      </c>
      <c r="I32" s="57">
        <v>43652.608229166668</v>
      </c>
      <c r="J32" t="s">
        <v>73</v>
      </c>
      <c r="K32" t="s">
        <v>74</v>
      </c>
      <c r="L32" s="7" t="s">
        <v>195</v>
      </c>
      <c r="M32" s="10"/>
      <c r="X32" s="7" t="s">
        <v>475</v>
      </c>
      <c r="Y32" t="s">
        <v>1059</v>
      </c>
      <c r="Z32" s="7" t="s">
        <v>321</v>
      </c>
      <c r="AA32" t="s">
        <v>327</v>
      </c>
    </row>
    <row r="33" spans="1:27">
      <c r="A33" t="s">
        <v>197</v>
      </c>
      <c r="B33" t="s">
        <v>198</v>
      </c>
      <c r="C33" t="s">
        <v>199</v>
      </c>
      <c r="D33" t="s">
        <v>200</v>
      </c>
      <c r="E33">
        <v>1</v>
      </c>
      <c r="F33" t="s">
        <v>38</v>
      </c>
      <c r="G33" s="57">
        <v>43736</v>
      </c>
      <c r="I33" s="57"/>
      <c r="J33" t="s">
        <v>74</v>
      </c>
      <c r="K33" t="s">
        <v>74</v>
      </c>
      <c r="L33" s="7" t="s">
        <v>197</v>
      </c>
      <c r="M33" s="10"/>
      <c r="X33" s="7" t="s">
        <v>475</v>
      </c>
      <c r="Y33" t="s">
        <v>757</v>
      </c>
      <c r="Z33" s="7" t="s">
        <v>321</v>
      </c>
      <c r="AA33" t="s">
        <v>329</v>
      </c>
    </row>
    <row r="34" spans="1:27">
      <c r="A34" t="s">
        <v>201</v>
      </c>
      <c r="B34" t="s">
        <v>202</v>
      </c>
      <c r="C34" t="s">
        <v>203</v>
      </c>
      <c r="D34" t="s">
        <v>200</v>
      </c>
      <c r="E34">
        <v>1</v>
      </c>
      <c r="F34" t="s">
        <v>38</v>
      </c>
      <c r="G34" s="57">
        <v>43736</v>
      </c>
      <c r="I34" s="57"/>
      <c r="J34" t="s">
        <v>74</v>
      </c>
      <c r="K34" t="s">
        <v>74</v>
      </c>
      <c r="L34" s="7" t="s">
        <v>201</v>
      </c>
      <c r="M34" s="10"/>
      <c r="X34" s="7" t="s">
        <v>475</v>
      </c>
      <c r="Y34" t="s">
        <v>1063</v>
      </c>
      <c r="Z34" s="7" t="s">
        <v>321</v>
      </c>
      <c r="AA34" t="s">
        <v>331</v>
      </c>
    </row>
    <row r="35" spans="1:27">
      <c r="A35" t="s">
        <v>204</v>
      </c>
      <c r="B35" t="s">
        <v>205</v>
      </c>
      <c r="C35" t="s">
        <v>206</v>
      </c>
      <c r="D35" t="s">
        <v>200</v>
      </c>
      <c r="E35">
        <v>1</v>
      </c>
      <c r="F35" t="s">
        <v>38</v>
      </c>
      <c r="G35" s="57">
        <v>43736</v>
      </c>
      <c r="I35" s="57"/>
      <c r="J35" t="s">
        <v>74</v>
      </c>
      <c r="K35" t="s">
        <v>74</v>
      </c>
      <c r="L35" s="7" t="s">
        <v>204</v>
      </c>
      <c r="M35" s="10"/>
      <c r="X35" s="7" t="s">
        <v>475</v>
      </c>
      <c r="Y35" t="s">
        <v>1066</v>
      </c>
      <c r="Z35" s="7" t="s">
        <v>321</v>
      </c>
      <c r="AA35" t="s">
        <v>333</v>
      </c>
    </row>
    <row r="36" spans="1:27">
      <c r="A36" t="s">
        <v>207</v>
      </c>
      <c r="B36" t="s">
        <v>208</v>
      </c>
      <c r="C36" t="s">
        <v>209</v>
      </c>
      <c r="D36" t="s">
        <v>200</v>
      </c>
      <c r="E36">
        <v>1</v>
      </c>
      <c r="F36" t="s">
        <v>38</v>
      </c>
      <c r="G36" s="57">
        <v>43736</v>
      </c>
      <c r="I36" s="57"/>
      <c r="J36" t="s">
        <v>74</v>
      </c>
      <c r="K36" t="s">
        <v>74</v>
      </c>
      <c r="L36" s="7" t="s">
        <v>207</v>
      </c>
      <c r="M36" s="10"/>
      <c r="X36" s="7" t="s">
        <v>475</v>
      </c>
      <c r="Y36" t="s">
        <v>1073</v>
      </c>
      <c r="Z36" s="7" t="s">
        <v>321</v>
      </c>
      <c r="AA36" t="s">
        <v>335</v>
      </c>
    </row>
    <row r="37" spans="1:27">
      <c r="A37" t="s">
        <v>210</v>
      </c>
      <c r="B37" t="s">
        <v>211</v>
      </c>
      <c r="C37" t="s">
        <v>212</v>
      </c>
      <c r="D37" t="s">
        <v>200</v>
      </c>
      <c r="E37">
        <v>1</v>
      </c>
      <c r="F37" t="s">
        <v>38</v>
      </c>
      <c r="G37" s="57">
        <v>43736</v>
      </c>
      <c r="I37" s="57"/>
      <c r="J37" t="s">
        <v>74</v>
      </c>
      <c r="K37" t="s">
        <v>74</v>
      </c>
      <c r="L37" s="7" t="s">
        <v>210</v>
      </c>
      <c r="M37" s="10"/>
      <c r="X37" s="7" t="s">
        <v>475</v>
      </c>
      <c r="Y37" t="s">
        <v>1074</v>
      </c>
      <c r="Z37" s="7" t="s">
        <v>321</v>
      </c>
      <c r="AA37" t="s">
        <v>337</v>
      </c>
    </row>
    <row r="38" spans="1:27">
      <c r="A38" t="s">
        <v>213</v>
      </c>
      <c r="B38" t="s">
        <v>214</v>
      </c>
      <c r="C38" t="s">
        <v>215</v>
      </c>
      <c r="D38" t="s">
        <v>200</v>
      </c>
      <c r="E38">
        <v>1</v>
      </c>
      <c r="F38" t="s">
        <v>38</v>
      </c>
      <c r="G38" s="57">
        <v>43736</v>
      </c>
      <c r="I38" s="57"/>
      <c r="J38" t="s">
        <v>74</v>
      </c>
      <c r="K38" t="s">
        <v>74</v>
      </c>
      <c r="L38" s="7" t="s">
        <v>213</v>
      </c>
      <c r="M38" s="10"/>
      <c r="X38" s="7" t="s">
        <v>475</v>
      </c>
      <c r="Y38" t="s">
        <v>1077</v>
      </c>
      <c r="Z38" s="7" t="s">
        <v>321</v>
      </c>
      <c r="AA38" t="s">
        <v>339</v>
      </c>
    </row>
    <row r="39" spans="1:27">
      <c r="A39" t="s">
        <v>216</v>
      </c>
      <c r="B39" t="s">
        <v>217</v>
      </c>
      <c r="C39" t="s">
        <v>218</v>
      </c>
      <c r="D39" t="s">
        <v>200</v>
      </c>
      <c r="E39">
        <v>1</v>
      </c>
      <c r="F39" t="s">
        <v>38</v>
      </c>
      <c r="G39" s="57">
        <v>43736</v>
      </c>
      <c r="I39" s="57"/>
      <c r="J39" t="s">
        <v>74</v>
      </c>
      <c r="K39" t="s">
        <v>74</v>
      </c>
      <c r="L39" s="7" t="s">
        <v>216</v>
      </c>
      <c r="M39" s="10"/>
      <c r="X39" s="7" t="s">
        <v>475</v>
      </c>
      <c r="Y39" t="s">
        <v>1079</v>
      </c>
      <c r="Z39" s="7" t="s">
        <v>321</v>
      </c>
      <c r="AA39" t="s">
        <v>341</v>
      </c>
    </row>
    <row r="40" spans="1:27">
      <c r="A40" t="s">
        <v>219</v>
      </c>
      <c r="B40" t="s">
        <v>220</v>
      </c>
      <c r="C40" t="s">
        <v>221</v>
      </c>
      <c r="D40" t="s">
        <v>200</v>
      </c>
      <c r="E40">
        <v>1</v>
      </c>
      <c r="F40" t="s">
        <v>38</v>
      </c>
      <c r="G40" s="57">
        <v>43736</v>
      </c>
      <c r="I40" s="57"/>
      <c r="J40" t="s">
        <v>74</v>
      </c>
      <c r="K40" t="s">
        <v>74</v>
      </c>
      <c r="L40" s="7" t="s">
        <v>219</v>
      </c>
      <c r="M40" s="10"/>
      <c r="X40" s="7" t="s">
        <v>475</v>
      </c>
      <c r="Y40" t="s">
        <v>1080</v>
      </c>
      <c r="Z40" s="7" t="s">
        <v>321</v>
      </c>
      <c r="AA40" t="s">
        <v>343</v>
      </c>
    </row>
    <row r="41" spans="1:27">
      <c r="A41" t="s">
        <v>222</v>
      </c>
      <c r="B41" t="s">
        <v>223</v>
      </c>
      <c r="C41" t="s">
        <v>224</v>
      </c>
      <c r="D41" t="s">
        <v>200</v>
      </c>
      <c r="E41">
        <v>1</v>
      </c>
      <c r="F41" t="s">
        <v>38</v>
      </c>
      <c r="G41" s="57">
        <v>43736</v>
      </c>
      <c r="I41" s="57"/>
      <c r="J41" t="s">
        <v>74</v>
      </c>
      <c r="K41" t="s">
        <v>74</v>
      </c>
      <c r="L41" s="7" t="s">
        <v>222</v>
      </c>
      <c r="M41" s="10"/>
      <c r="X41" s="7" t="s">
        <v>475</v>
      </c>
      <c r="Y41" t="s">
        <v>1084</v>
      </c>
      <c r="Z41" s="7" t="s">
        <v>321</v>
      </c>
      <c r="AA41" t="s">
        <v>345</v>
      </c>
    </row>
    <row r="42" spans="1:27">
      <c r="A42" t="s">
        <v>225</v>
      </c>
      <c r="B42" t="s">
        <v>226</v>
      </c>
      <c r="C42" t="s">
        <v>227</v>
      </c>
      <c r="D42" t="s">
        <v>200</v>
      </c>
      <c r="E42">
        <v>1</v>
      </c>
      <c r="F42" t="s">
        <v>38</v>
      </c>
      <c r="G42" s="57">
        <v>43736</v>
      </c>
      <c r="I42" s="57"/>
      <c r="J42" t="s">
        <v>74</v>
      </c>
      <c r="K42" t="s">
        <v>74</v>
      </c>
      <c r="L42" s="7" t="s">
        <v>225</v>
      </c>
      <c r="M42" s="10"/>
      <c r="X42" s="7" t="s">
        <v>475</v>
      </c>
      <c r="Y42" t="s">
        <v>1085</v>
      </c>
      <c r="Z42" s="7" t="s">
        <v>321</v>
      </c>
      <c r="AA42" t="s">
        <v>347</v>
      </c>
    </row>
    <row r="43" spans="1:27">
      <c r="A43" t="s">
        <v>228</v>
      </c>
      <c r="B43" t="s">
        <v>229</v>
      </c>
      <c r="C43" t="s">
        <v>230</v>
      </c>
      <c r="D43" t="s">
        <v>200</v>
      </c>
      <c r="E43">
        <v>1</v>
      </c>
      <c r="F43" t="s">
        <v>38</v>
      </c>
      <c r="G43" s="57">
        <v>43736</v>
      </c>
      <c r="I43" s="57"/>
      <c r="J43" t="s">
        <v>74</v>
      </c>
      <c r="K43" t="s">
        <v>74</v>
      </c>
      <c r="L43" s="7" t="s">
        <v>228</v>
      </c>
      <c r="M43" s="10"/>
      <c r="X43" s="7" t="s">
        <v>475</v>
      </c>
      <c r="Y43" t="s">
        <v>1090</v>
      </c>
      <c r="Z43" s="7" t="s">
        <v>321</v>
      </c>
      <c r="AA43" t="s">
        <v>349</v>
      </c>
    </row>
    <row r="44" spans="1:27">
      <c r="A44" t="s">
        <v>231</v>
      </c>
      <c r="B44" t="s">
        <v>1028</v>
      </c>
      <c r="C44" t="s">
        <v>1028</v>
      </c>
      <c r="D44" t="s">
        <v>200</v>
      </c>
      <c r="E44">
        <v>1</v>
      </c>
      <c r="F44" t="s">
        <v>38</v>
      </c>
      <c r="G44" s="57">
        <v>43736</v>
      </c>
      <c r="I44" s="57"/>
      <c r="J44" t="s">
        <v>74</v>
      </c>
      <c r="K44" t="s">
        <v>74</v>
      </c>
      <c r="L44" s="7" t="s">
        <v>231</v>
      </c>
      <c r="M44" s="10"/>
      <c r="Z44" s="7" t="s">
        <v>321</v>
      </c>
      <c r="AA44" t="s">
        <v>351</v>
      </c>
    </row>
    <row r="45" spans="1:27">
      <c r="A45" t="s">
        <v>232</v>
      </c>
      <c r="B45" t="s">
        <v>233</v>
      </c>
      <c r="C45" t="s">
        <v>233</v>
      </c>
      <c r="D45" t="s">
        <v>200</v>
      </c>
      <c r="E45">
        <v>1</v>
      </c>
      <c r="F45" t="s">
        <v>38</v>
      </c>
      <c r="G45" s="57">
        <v>43736</v>
      </c>
      <c r="I45" s="57"/>
      <c r="J45" t="s">
        <v>74</v>
      </c>
      <c r="K45" t="s">
        <v>74</v>
      </c>
      <c r="L45" s="7" t="s">
        <v>232</v>
      </c>
      <c r="M45" s="10"/>
      <c r="Z45" s="7" t="s">
        <v>321</v>
      </c>
      <c r="AA45" t="s">
        <v>353</v>
      </c>
    </row>
    <row r="46" spans="1:27">
      <c r="A46" t="s">
        <v>234</v>
      </c>
      <c r="B46" t="s">
        <v>1029</v>
      </c>
      <c r="C46" t="s">
        <v>1029</v>
      </c>
      <c r="D46" t="s">
        <v>200</v>
      </c>
      <c r="E46">
        <v>1</v>
      </c>
      <c r="F46" t="s">
        <v>38</v>
      </c>
      <c r="G46" s="57">
        <v>43736</v>
      </c>
      <c r="I46" s="57"/>
      <c r="J46" t="s">
        <v>74</v>
      </c>
      <c r="K46" t="s">
        <v>74</v>
      </c>
      <c r="L46" s="7" t="s">
        <v>234</v>
      </c>
      <c r="M46" s="10"/>
      <c r="Z46" s="7" t="s">
        <v>321</v>
      </c>
      <c r="AA46" t="s">
        <v>355</v>
      </c>
    </row>
    <row r="47" spans="1:27">
      <c r="A47" t="s">
        <v>235</v>
      </c>
      <c r="B47" t="s">
        <v>236</v>
      </c>
      <c r="C47" t="s">
        <v>236</v>
      </c>
      <c r="D47" t="s">
        <v>237</v>
      </c>
      <c r="E47">
        <v>1</v>
      </c>
      <c r="F47" t="s">
        <v>38</v>
      </c>
      <c r="G47" s="57">
        <v>43736</v>
      </c>
      <c r="I47" s="57"/>
      <c r="J47" t="s">
        <v>74</v>
      </c>
      <c r="K47" t="s">
        <v>74</v>
      </c>
      <c r="L47" s="7" t="s">
        <v>235</v>
      </c>
      <c r="M47" s="10"/>
      <c r="Z47" s="7" t="s">
        <v>321</v>
      </c>
      <c r="AA47" t="s">
        <v>357</v>
      </c>
    </row>
    <row r="48" spans="1:27">
      <c r="A48" t="s">
        <v>238</v>
      </c>
      <c r="B48" t="s">
        <v>239</v>
      </c>
      <c r="C48" t="s">
        <v>239</v>
      </c>
      <c r="D48" t="s">
        <v>200</v>
      </c>
      <c r="E48">
        <v>1</v>
      </c>
      <c r="F48" t="s">
        <v>38</v>
      </c>
      <c r="G48" s="57">
        <v>43736</v>
      </c>
      <c r="I48" s="57"/>
      <c r="J48" t="s">
        <v>74</v>
      </c>
      <c r="K48" t="s">
        <v>74</v>
      </c>
      <c r="L48" s="7" t="s">
        <v>238</v>
      </c>
      <c r="M48" s="10"/>
      <c r="Z48" s="7" t="s">
        <v>321</v>
      </c>
      <c r="AA48" t="s">
        <v>359</v>
      </c>
    </row>
    <row r="49" spans="1:27">
      <c r="A49" t="s">
        <v>240</v>
      </c>
      <c r="B49" t="s">
        <v>241</v>
      </c>
      <c r="C49" t="s">
        <v>241</v>
      </c>
      <c r="D49" t="s">
        <v>242</v>
      </c>
      <c r="E49">
        <v>0</v>
      </c>
      <c r="F49" t="s">
        <v>38</v>
      </c>
      <c r="G49" s="57">
        <v>43736</v>
      </c>
      <c r="I49" s="57"/>
      <c r="J49" t="s">
        <v>74</v>
      </c>
      <c r="K49" t="s">
        <v>74</v>
      </c>
      <c r="L49" s="7" t="s">
        <v>240</v>
      </c>
      <c r="M49" s="10"/>
      <c r="Z49" s="7" t="s">
        <v>321</v>
      </c>
      <c r="AA49" t="s">
        <v>361</v>
      </c>
    </row>
    <row r="50" spans="1:27">
      <c r="A50" t="s">
        <v>243</v>
      </c>
      <c r="B50" t="s">
        <v>244</v>
      </c>
      <c r="C50" t="s">
        <v>244</v>
      </c>
      <c r="D50" t="s">
        <v>242</v>
      </c>
      <c r="E50">
        <v>0</v>
      </c>
      <c r="F50" t="s">
        <v>38</v>
      </c>
      <c r="G50" s="57">
        <v>43736</v>
      </c>
      <c r="I50" s="57"/>
      <c r="J50" t="s">
        <v>74</v>
      </c>
      <c r="K50" t="s">
        <v>74</v>
      </c>
      <c r="L50" s="7" t="s">
        <v>243</v>
      </c>
      <c r="M50" s="10"/>
      <c r="Z50" s="7" t="s">
        <v>321</v>
      </c>
      <c r="AA50" t="s">
        <v>363</v>
      </c>
    </row>
    <row r="51" spans="1:27">
      <c r="A51" t="s">
        <v>245</v>
      </c>
      <c r="B51" t="s">
        <v>246</v>
      </c>
      <c r="C51" t="s">
        <v>246</v>
      </c>
      <c r="D51" t="s">
        <v>242</v>
      </c>
      <c r="E51">
        <v>0</v>
      </c>
      <c r="F51" t="s">
        <v>38</v>
      </c>
      <c r="G51" s="57">
        <v>43736</v>
      </c>
      <c r="I51" s="57"/>
      <c r="J51" t="s">
        <v>74</v>
      </c>
      <c r="K51" t="s">
        <v>74</v>
      </c>
      <c r="L51" s="7" t="s">
        <v>245</v>
      </c>
      <c r="M51" s="10"/>
      <c r="Z51" s="7" t="s">
        <v>321</v>
      </c>
      <c r="AA51" t="s">
        <v>365</v>
      </c>
    </row>
    <row r="52" spans="1:27">
      <c r="A52" t="s">
        <v>247</v>
      </c>
      <c r="B52" t="s">
        <v>248</v>
      </c>
      <c r="C52" t="s">
        <v>248</v>
      </c>
      <c r="D52" t="s">
        <v>242</v>
      </c>
      <c r="E52">
        <v>0</v>
      </c>
      <c r="F52" t="s">
        <v>38</v>
      </c>
      <c r="G52" s="57">
        <v>43736</v>
      </c>
      <c r="I52" s="57"/>
      <c r="J52" t="s">
        <v>74</v>
      </c>
      <c r="K52" t="s">
        <v>74</v>
      </c>
      <c r="L52" s="7" t="s">
        <v>247</v>
      </c>
      <c r="M52" s="10"/>
      <c r="Z52" s="7" t="s">
        <v>321</v>
      </c>
      <c r="AA52" t="s">
        <v>367</v>
      </c>
    </row>
    <row r="53" spans="1:27">
      <c r="A53" t="s">
        <v>249</v>
      </c>
      <c r="B53" t="s">
        <v>250</v>
      </c>
      <c r="C53" t="s">
        <v>250</v>
      </c>
      <c r="D53" t="s">
        <v>242</v>
      </c>
      <c r="E53">
        <v>0</v>
      </c>
      <c r="F53" t="s">
        <v>38</v>
      </c>
      <c r="G53" s="57">
        <v>43736</v>
      </c>
      <c r="I53" s="57"/>
      <c r="J53" t="s">
        <v>74</v>
      </c>
      <c r="K53" t="s">
        <v>74</v>
      </c>
      <c r="L53" s="7" t="s">
        <v>249</v>
      </c>
      <c r="M53" s="10"/>
      <c r="Z53" s="7" t="s">
        <v>321</v>
      </c>
      <c r="AA53" t="s">
        <v>369</v>
      </c>
    </row>
    <row r="54" spans="1:27">
      <c r="A54" t="s">
        <v>251</v>
      </c>
      <c r="B54" t="s">
        <v>252</v>
      </c>
      <c r="C54" t="s">
        <v>252</v>
      </c>
      <c r="D54" t="s">
        <v>242</v>
      </c>
      <c r="E54">
        <v>0</v>
      </c>
      <c r="F54" t="s">
        <v>38</v>
      </c>
      <c r="G54" s="57">
        <v>43736</v>
      </c>
      <c r="I54" s="57"/>
      <c r="J54" t="s">
        <v>74</v>
      </c>
      <c r="K54" t="s">
        <v>74</v>
      </c>
      <c r="L54" s="7" t="s">
        <v>251</v>
      </c>
      <c r="M54" s="10"/>
      <c r="Z54" s="7" t="s">
        <v>321</v>
      </c>
      <c r="AA54" t="s">
        <v>371</v>
      </c>
    </row>
    <row r="55" spans="1:27">
      <c r="A55" t="s">
        <v>253</v>
      </c>
      <c r="B55" t="s">
        <v>254</v>
      </c>
      <c r="C55" t="s">
        <v>254</v>
      </c>
      <c r="D55" t="s">
        <v>242</v>
      </c>
      <c r="E55">
        <v>0</v>
      </c>
      <c r="F55" t="s">
        <v>38</v>
      </c>
      <c r="G55" s="57">
        <v>43736</v>
      </c>
      <c r="I55" s="57"/>
      <c r="J55" t="s">
        <v>74</v>
      </c>
      <c r="K55" t="s">
        <v>74</v>
      </c>
      <c r="L55" s="7" t="s">
        <v>253</v>
      </c>
      <c r="M55" s="10"/>
      <c r="Z55" s="7" t="s">
        <v>321</v>
      </c>
      <c r="AA55" t="s">
        <v>373</v>
      </c>
    </row>
    <row r="56" spans="1:27">
      <c r="A56" t="s">
        <v>255</v>
      </c>
      <c r="B56" t="s">
        <v>256</v>
      </c>
      <c r="C56" t="s">
        <v>256</v>
      </c>
      <c r="D56" t="s">
        <v>242</v>
      </c>
      <c r="E56">
        <v>0</v>
      </c>
      <c r="F56" t="s">
        <v>38</v>
      </c>
      <c r="G56" s="57">
        <v>43736</v>
      </c>
      <c r="I56" s="57"/>
      <c r="J56" t="s">
        <v>74</v>
      </c>
      <c r="K56" t="s">
        <v>74</v>
      </c>
      <c r="L56" s="7" t="s">
        <v>255</v>
      </c>
      <c r="M56" s="10"/>
      <c r="Z56" s="7" t="s">
        <v>321</v>
      </c>
      <c r="AA56" t="s">
        <v>375</v>
      </c>
    </row>
    <row r="57" spans="1:27">
      <c r="A57" t="s">
        <v>257</v>
      </c>
      <c r="B57" t="s">
        <v>258</v>
      </c>
      <c r="C57" t="s">
        <v>258</v>
      </c>
      <c r="D57" t="s">
        <v>242</v>
      </c>
      <c r="E57">
        <v>0</v>
      </c>
      <c r="F57" t="s">
        <v>38</v>
      </c>
      <c r="G57" s="57">
        <v>43736</v>
      </c>
      <c r="I57" s="57"/>
      <c r="J57" t="s">
        <v>74</v>
      </c>
      <c r="K57" t="s">
        <v>74</v>
      </c>
      <c r="L57" s="7" t="s">
        <v>257</v>
      </c>
      <c r="M57" s="10"/>
      <c r="Z57" s="7" t="s">
        <v>321</v>
      </c>
      <c r="AA57" t="s">
        <v>377</v>
      </c>
    </row>
    <row r="58" spans="1:27">
      <c r="A58" t="s">
        <v>259</v>
      </c>
      <c r="B58" t="s">
        <v>260</v>
      </c>
      <c r="C58" t="s">
        <v>260</v>
      </c>
      <c r="D58" t="s">
        <v>242</v>
      </c>
      <c r="E58">
        <v>0</v>
      </c>
      <c r="F58" t="s">
        <v>38</v>
      </c>
      <c r="G58" s="57">
        <v>43736</v>
      </c>
      <c r="I58" s="57"/>
      <c r="J58" t="s">
        <v>74</v>
      </c>
      <c r="K58" t="s">
        <v>74</v>
      </c>
      <c r="L58" s="7" t="s">
        <v>259</v>
      </c>
      <c r="M58" s="10"/>
      <c r="Z58" s="7" t="s">
        <v>321</v>
      </c>
      <c r="AA58" t="s">
        <v>379</v>
      </c>
    </row>
    <row r="59" spans="1:27">
      <c r="A59" t="s">
        <v>261</v>
      </c>
      <c r="B59" t="s">
        <v>262</v>
      </c>
      <c r="C59" t="s">
        <v>262</v>
      </c>
      <c r="D59" t="s">
        <v>242</v>
      </c>
      <c r="E59">
        <v>0</v>
      </c>
      <c r="F59" t="s">
        <v>38</v>
      </c>
      <c r="G59" s="57">
        <v>43736</v>
      </c>
      <c r="I59" s="57"/>
      <c r="J59" t="s">
        <v>74</v>
      </c>
      <c r="K59" t="s">
        <v>74</v>
      </c>
      <c r="L59" s="7" t="s">
        <v>261</v>
      </c>
      <c r="M59" s="10"/>
      <c r="Z59" s="7" t="s">
        <v>321</v>
      </c>
      <c r="AA59" t="s">
        <v>381</v>
      </c>
    </row>
    <row r="60" spans="1:27">
      <c r="A60" t="s">
        <v>263</v>
      </c>
      <c r="B60" t="s">
        <v>264</v>
      </c>
      <c r="C60" t="s">
        <v>264</v>
      </c>
      <c r="D60" t="s">
        <v>242</v>
      </c>
      <c r="E60">
        <v>0</v>
      </c>
      <c r="F60" t="s">
        <v>38</v>
      </c>
      <c r="G60" s="57">
        <v>43736</v>
      </c>
      <c r="I60" s="57"/>
      <c r="J60" t="s">
        <v>74</v>
      </c>
      <c r="K60" t="s">
        <v>74</v>
      </c>
      <c r="L60" s="7" t="s">
        <v>263</v>
      </c>
      <c r="M60" s="10"/>
      <c r="Z60" s="7" t="s">
        <v>321</v>
      </c>
      <c r="AA60" t="s">
        <v>383</v>
      </c>
    </row>
    <row r="61" spans="1:27">
      <c r="A61" t="s">
        <v>265</v>
      </c>
      <c r="B61" t="s">
        <v>266</v>
      </c>
      <c r="C61" t="s">
        <v>266</v>
      </c>
      <c r="D61" t="s">
        <v>242</v>
      </c>
      <c r="E61">
        <v>0</v>
      </c>
      <c r="F61" t="s">
        <v>38</v>
      </c>
      <c r="G61" s="57">
        <v>43736</v>
      </c>
      <c r="I61" s="57"/>
      <c r="J61" t="s">
        <v>74</v>
      </c>
      <c r="K61" t="s">
        <v>74</v>
      </c>
      <c r="L61" s="7" t="s">
        <v>265</v>
      </c>
      <c r="M61" s="10"/>
      <c r="Z61" s="7" t="s">
        <v>321</v>
      </c>
      <c r="AA61" t="s">
        <v>385</v>
      </c>
    </row>
    <row r="62" spans="1:27">
      <c r="A62" t="s">
        <v>267</v>
      </c>
      <c r="B62" t="s">
        <v>268</v>
      </c>
      <c r="C62" t="s">
        <v>268</v>
      </c>
      <c r="D62" t="s">
        <v>242</v>
      </c>
      <c r="E62">
        <v>0</v>
      </c>
      <c r="F62" t="s">
        <v>38</v>
      </c>
      <c r="G62" s="57">
        <v>43736</v>
      </c>
      <c r="I62" s="57"/>
      <c r="J62" t="s">
        <v>74</v>
      </c>
      <c r="K62" t="s">
        <v>74</v>
      </c>
      <c r="L62" s="7" t="s">
        <v>267</v>
      </c>
      <c r="M62" s="10"/>
      <c r="Z62" s="7" t="s">
        <v>321</v>
      </c>
      <c r="AA62" t="s">
        <v>387</v>
      </c>
    </row>
    <row r="63" spans="1:27">
      <c r="A63" t="s">
        <v>269</v>
      </c>
      <c r="B63" t="s">
        <v>270</v>
      </c>
      <c r="C63" t="s">
        <v>270</v>
      </c>
      <c r="D63" t="s">
        <v>242</v>
      </c>
      <c r="E63">
        <v>0</v>
      </c>
      <c r="F63" t="s">
        <v>38</v>
      </c>
      <c r="G63" s="57">
        <v>43736</v>
      </c>
      <c r="I63" s="57"/>
      <c r="J63" t="s">
        <v>74</v>
      </c>
      <c r="K63" t="s">
        <v>74</v>
      </c>
      <c r="L63" s="7" t="s">
        <v>269</v>
      </c>
      <c r="M63" s="10"/>
      <c r="Z63" s="7" t="s">
        <v>321</v>
      </c>
      <c r="AA63" t="s">
        <v>389</v>
      </c>
    </row>
    <row r="64" spans="1:27">
      <c r="A64" t="s">
        <v>271</v>
      </c>
      <c r="B64" t="s">
        <v>272</v>
      </c>
      <c r="C64" t="s">
        <v>272</v>
      </c>
      <c r="D64" t="s">
        <v>242</v>
      </c>
      <c r="E64">
        <v>0</v>
      </c>
      <c r="F64" t="s">
        <v>38</v>
      </c>
      <c r="G64" s="57">
        <v>43736</v>
      </c>
      <c r="I64" s="57"/>
      <c r="J64" t="s">
        <v>74</v>
      </c>
      <c r="K64" t="s">
        <v>74</v>
      </c>
      <c r="L64" s="7" t="s">
        <v>271</v>
      </c>
      <c r="M64" s="10"/>
      <c r="Z64" s="7" t="s">
        <v>321</v>
      </c>
      <c r="AA64" t="s">
        <v>391</v>
      </c>
    </row>
    <row r="65" spans="1:27">
      <c r="A65" t="s">
        <v>273</v>
      </c>
      <c r="B65" t="s">
        <v>274</v>
      </c>
      <c r="C65" t="s">
        <v>274</v>
      </c>
      <c r="D65" t="s">
        <v>242</v>
      </c>
      <c r="E65">
        <v>0</v>
      </c>
      <c r="F65" t="s">
        <v>38</v>
      </c>
      <c r="G65" s="57">
        <v>43736</v>
      </c>
      <c r="I65" s="57"/>
      <c r="J65" t="s">
        <v>74</v>
      </c>
      <c r="K65" t="s">
        <v>74</v>
      </c>
      <c r="L65" s="7" t="s">
        <v>273</v>
      </c>
      <c r="M65" s="10"/>
      <c r="Z65" s="7" t="s">
        <v>321</v>
      </c>
      <c r="AA65" t="s">
        <v>393</v>
      </c>
    </row>
    <row r="66" spans="1:27">
      <c r="A66" t="s">
        <v>275</v>
      </c>
      <c r="B66" t="s">
        <v>276</v>
      </c>
      <c r="C66" t="s">
        <v>276</v>
      </c>
      <c r="D66" t="s">
        <v>242</v>
      </c>
      <c r="E66">
        <v>0</v>
      </c>
      <c r="F66" t="s">
        <v>38</v>
      </c>
      <c r="G66" s="57">
        <v>43736</v>
      </c>
      <c r="I66" s="57"/>
      <c r="J66" t="s">
        <v>74</v>
      </c>
      <c r="K66" t="s">
        <v>74</v>
      </c>
      <c r="L66" s="7" t="s">
        <v>275</v>
      </c>
      <c r="M66" s="10"/>
      <c r="Z66" s="7" t="s">
        <v>321</v>
      </c>
      <c r="AA66" t="s">
        <v>395</v>
      </c>
    </row>
    <row r="67" spans="1:27">
      <c r="A67" t="s">
        <v>277</v>
      </c>
      <c r="B67" t="s">
        <v>278</v>
      </c>
      <c r="C67" t="s">
        <v>278</v>
      </c>
      <c r="D67" t="s">
        <v>242</v>
      </c>
      <c r="E67">
        <v>0</v>
      </c>
      <c r="F67" t="s">
        <v>38</v>
      </c>
      <c r="G67" s="57">
        <v>43736</v>
      </c>
      <c r="I67" s="57"/>
      <c r="J67" t="s">
        <v>74</v>
      </c>
      <c r="K67" t="s">
        <v>74</v>
      </c>
      <c r="L67" s="7" t="s">
        <v>277</v>
      </c>
      <c r="M67" s="10"/>
      <c r="Z67" s="7" t="s">
        <v>321</v>
      </c>
      <c r="AA67" t="s">
        <v>397</v>
      </c>
    </row>
    <row r="68" spans="1:27">
      <c r="A68" t="s">
        <v>279</v>
      </c>
      <c r="B68" t="s">
        <v>280</v>
      </c>
      <c r="C68" t="s">
        <v>280</v>
      </c>
      <c r="D68" t="s">
        <v>242</v>
      </c>
      <c r="E68">
        <v>0</v>
      </c>
      <c r="F68" t="s">
        <v>38</v>
      </c>
      <c r="G68" s="57">
        <v>43736</v>
      </c>
      <c r="I68" s="57"/>
      <c r="J68" t="s">
        <v>74</v>
      </c>
      <c r="K68" t="s">
        <v>74</v>
      </c>
      <c r="L68" s="7" t="s">
        <v>279</v>
      </c>
      <c r="M68" s="10"/>
      <c r="Z68" s="7" t="s">
        <v>321</v>
      </c>
      <c r="AA68" t="s">
        <v>399</v>
      </c>
    </row>
    <row r="69" spans="1:27">
      <c r="A69" t="s">
        <v>281</v>
      </c>
      <c r="B69" t="s">
        <v>282</v>
      </c>
      <c r="C69" t="s">
        <v>282</v>
      </c>
      <c r="D69" t="s">
        <v>242</v>
      </c>
      <c r="E69">
        <v>0</v>
      </c>
      <c r="F69" t="s">
        <v>38</v>
      </c>
      <c r="G69" s="57">
        <v>43736</v>
      </c>
      <c r="I69" s="57"/>
      <c r="J69" t="s">
        <v>74</v>
      </c>
      <c r="K69" t="s">
        <v>74</v>
      </c>
      <c r="L69" s="7" t="s">
        <v>281</v>
      </c>
      <c r="M69" s="10"/>
      <c r="Z69" s="7" t="s">
        <v>321</v>
      </c>
      <c r="AA69" t="s">
        <v>401</v>
      </c>
    </row>
    <row r="70" spans="1:27">
      <c r="A70" t="s">
        <v>283</v>
      </c>
      <c r="B70" t="s">
        <v>284</v>
      </c>
      <c r="C70" t="s">
        <v>284</v>
      </c>
      <c r="D70" t="s">
        <v>242</v>
      </c>
      <c r="E70">
        <v>0</v>
      </c>
      <c r="F70" t="s">
        <v>38</v>
      </c>
      <c r="G70" s="57">
        <v>43736</v>
      </c>
      <c r="I70" s="57"/>
      <c r="J70" t="s">
        <v>74</v>
      </c>
      <c r="K70" t="s">
        <v>74</v>
      </c>
      <c r="L70" s="7" t="s">
        <v>283</v>
      </c>
      <c r="M70" s="10"/>
      <c r="Z70" s="7" t="s">
        <v>321</v>
      </c>
      <c r="AA70" t="s">
        <v>403</v>
      </c>
    </row>
    <row r="71" spans="1:27">
      <c r="A71" t="s">
        <v>285</v>
      </c>
      <c r="B71" t="s">
        <v>286</v>
      </c>
      <c r="C71" t="s">
        <v>286</v>
      </c>
      <c r="D71" t="s">
        <v>242</v>
      </c>
      <c r="E71">
        <v>0</v>
      </c>
      <c r="F71" t="s">
        <v>38</v>
      </c>
      <c r="G71" s="57">
        <v>43736</v>
      </c>
      <c r="I71" s="57"/>
      <c r="J71" t="s">
        <v>74</v>
      </c>
      <c r="K71" t="s">
        <v>74</v>
      </c>
      <c r="L71" s="7" t="s">
        <v>285</v>
      </c>
      <c r="M71" s="10"/>
      <c r="Z71" s="7" t="s">
        <v>321</v>
      </c>
      <c r="AA71" t="s">
        <v>405</v>
      </c>
    </row>
    <row r="72" spans="1:27">
      <c r="A72" t="s">
        <v>287</v>
      </c>
      <c r="B72" t="s">
        <v>288</v>
      </c>
      <c r="C72" t="s">
        <v>288</v>
      </c>
      <c r="D72" t="s">
        <v>242</v>
      </c>
      <c r="E72">
        <v>0</v>
      </c>
      <c r="F72" t="s">
        <v>38</v>
      </c>
      <c r="G72" s="57">
        <v>43736</v>
      </c>
      <c r="I72" s="57"/>
      <c r="J72" t="s">
        <v>74</v>
      </c>
      <c r="K72" t="s">
        <v>74</v>
      </c>
      <c r="L72" s="7" t="s">
        <v>287</v>
      </c>
      <c r="M72" s="10"/>
      <c r="Z72" s="7" t="s">
        <v>321</v>
      </c>
      <c r="AA72" t="s">
        <v>407</v>
      </c>
    </row>
    <row r="73" spans="1:27">
      <c r="A73" t="s">
        <v>289</v>
      </c>
      <c r="B73" t="s">
        <v>290</v>
      </c>
      <c r="C73" t="s">
        <v>290</v>
      </c>
      <c r="D73" t="s">
        <v>242</v>
      </c>
      <c r="E73">
        <v>0</v>
      </c>
      <c r="F73" t="s">
        <v>38</v>
      </c>
      <c r="G73" s="57">
        <v>43736</v>
      </c>
      <c r="I73" s="57"/>
      <c r="J73" t="s">
        <v>74</v>
      </c>
      <c r="K73" t="s">
        <v>74</v>
      </c>
      <c r="L73" s="7" t="s">
        <v>289</v>
      </c>
      <c r="M73" s="10"/>
      <c r="Z73" s="7" t="s">
        <v>321</v>
      </c>
      <c r="AA73" t="s">
        <v>409</v>
      </c>
    </row>
    <row r="74" spans="1:27">
      <c r="A74" t="s">
        <v>291</v>
      </c>
      <c r="B74" t="s">
        <v>292</v>
      </c>
      <c r="C74" t="s">
        <v>292</v>
      </c>
      <c r="D74" t="s">
        <v>242</v>
      </c>
      <c r="E74">
        <v>0</v>
      </c>
      <c r="F74" t="s">
        <v>38</v>
      </c>
      <c r="G74" s="57">
        <v>43736</v>
      </c>
      <c r="I74" s="57"/>
      <c r="J74" t="s">
        <v>74</v>
      </c>
      <c r="K74" t="s">
        <v>74</v>
      </c>
      <c r="L74" s="7" t="s">
        <v>291</v>
      </c>
      <c r="M74" s="10"/>
      <c r="Z74" s="7" t="s">
        <v>321</v>
      </c>
      <c r="AA74" t="s">
        <v>411</v>
      </c>
    </row>
    <row r="75" spans="1:27">
      <c r="A75" t="s">
        <v>293</v>
      </c>
      <c r="B75" t="s">
        <v>294</v>
      </c>
      <c r="C75" t="s">
        <v>294</v>
      </c>
      <c r="D75" t="s">
        <v>242</v>
      </c>
      <c r="E75">
        <v>0</v>
      </c>
      <c r="F75" t="s">
        <v>38</v>
      </c>
      <c r="G75" s="57">
        <v>43736</v>
      </c>
      <c r="I75" s="57"/>
      <c r="J75" t="s">
        <v>74</v>
      </c>
      <c r="K75" t="s">
        <v>74</v>
      </c>
      <c r="L75" s="7" t="s">
        <v>293</v>
      </c>
      <c r="M75" s="10"/>
      <c r="Z75" s="7" t="s">
        <v>321</v>
      </c>
      <c r="AA75" t="s">
        <v>413</v>
      </c>
    </row>
    <row r="76" spans="1:27">
      <c r="A76" t="s">
        <v>295</v>
      </c>
      <c r="B76" t="s">
        <v>296</v>
      </c>
      <c r="C76" t="s">
        <v>296</v>
      </c>
      <c r="D76" t="s">
        <v>297</v>
      </c>
      <c r="E76">
        <v>0</v>
      </c>
      <c r="F76" t="s">
        <v>38</v>
      </c>
      <c r="G76" s="57">
        <v>43736</v>
      </c>
      <c r="I76" s="57"/>
      <c r="J76" t="s">
        <v>74</v>
      </c>
      <c r="K76" t="s">
        <v>74</v>
      </c>
      <c r="L76" s="7" t="s">
        <v>295</v>
      </c>
      <c r="M76" s="10"/>
      <c r="Z76" s="7" t="s">
        <v>242</v>
      </c>
      <c r="AA76" t="s">
        <v>527</v>
      </c>
    </row>
    <row r="77" spans="1:27">
      <c r="A77" t="s">
        <v>298</v>
      </c>
      <c r="B77" t="s">
        <v>299</v>
      </c>
      <c r="C77" t="s">
        <v>299</v>
      </c>
      <c r="D77" t="s">
        <v>297</v>
      </c>
      <c r="E77">
        <v>0</v>
      </c>
      <c r="F77" t="s">
        <v>38</v>
      </c>
      <c r="G77" s="57">
        <v>43736</v>
      </c>
      <c r="I77" s="57"/>
      <c r="J77" t="s">
        <v>74</v>
      </c>
      <c r="K77" t="s">
        <v>74</v>
      </c>
      <c r="L77" s="7" t="s">
        <v>298</v>
      </c>
      <c r="M77" s="10"/>
      <c r="Z77" s="7" t="s">
        <v>321</v>
      </c>
      <c r="AA77" t="s">
        <v>532</v>
      </c>
    </row>
    <row r="78" spans="1:27">
      <c r="A78" t="s">
        <v>40</v>
      </c>
      <c r="B78" t="s">
        <v>300</v>
      </c>
      <c r="C78" t="s">
        <v>300</v>
      </c>
      <c r="D78" t="s">
        <v>297</v>
      </c>
      <c r="E78">
        <v>0</v>
      </c>
      <c r="F78" t="s">
        <v>38</v>
      </c>
      <c r="G78" s="57">
        <v>43736</v>
      </c>
      <c r="I78" s="57"/>
      <c r="J78" t="s">
        <v>74</v>
      </c>
      <c r="K78" t="s">
        <v>74</v>
      </c>
      <c r="L78" s="7" t="s">
        <v>40</v>
      </c>
      <c r="M78" s="10"/>
      <c r="Z78" s="7" t="s">
        <v>242</v>
      </c>
      <c r="AA78" t="s">
        <v>535</v>
      </c>
    </row>
    <row r="79" spans="1:27">
      <c r="A79" t="s">
        <v>301</v>
      </c>
      <c r="B79" t="s">
        <v>302</v>
      </c>
      <c r="C79" t="s">
        <v>302</v>
      </c>
      <c r="D79" t="s">
        <v>297</v>
      </c>
      <c r="E79">
        <v>0</v>
      </c>
      <c r="F79" t="s">
        <v>38</v>
      </c>
      <c r="G79" s="57">
        <v>43736</v>
      </c>
      <c r="I79" s="57"/>
      <c r="J79" t="s">
        <v>74</v>
      </c>
      <c r="K79" t="s">
        <v>74</v>
      </c>
      <c r="L79" s="7" t="s">
        <v>301</v>
      </c>
      <c r="M79" s="10"/>
      <c r="Z79" s="7" t="s">
        <v>242</v>
      </c>
      <c r="AA79" t="s">
        <v>1030</v>
      </c>
    </row>
    <row r="80" spans="1:27">
      <c r="A80" t="s">
        <v>303</v>
      </c>
      <c r="B80" t="s">
        <v>304</v>
      </c>
      <c r="C80" t="s">
        <v>304</v>
      </c>
      <c r="D80" t="s">
        <v>297</v>
      </c>
      <c r="E80">
        <v>0</v>
      </c>
      <c r="F80" t="s">
        <v>38</v>
      </c>
      <c r="G80" s="57">
        <v>43736</v>
      </c>
      <c r="I80" s="57"/>
      <c r="J80" t="s">
        <v>74</v>
      </c>
      <c r="K80" t="s">
        <v>74</v>
      </c>
      <c r="L80" s="7" t="s">
        <v>303</v>
      </c>
      <c r="M80" s="10"/>
      <c r="Z80" s="7" t="s">
        <v>242</v>
      </c>
      <c r="AA80" t="s">
        <v>545</v>
      </c>
    </row>
    <row r="81" spans="1:27">
      <c r="A81" t="s">
        <v>35</v>
      </c>
      <c r="B81" t="s">
        <v>305</v>
      </c>
      <c r="C81" t="s">
        <v>305</v>
      </c>
      <c r="D81" t="s">
        <v>297</v>
      </c>
      <c r="E81">
        <v>0</v>
      </c>
      <c r="F81" t="s">
        <v>38</v>
      </c>
      <c r="G81" s="57">
        <v>43736</v>
      </c>
      <c r="H81" t="s">
        <v>38</v>
      </c>
      <c r="I81" s="57">
        <v>43872.857766203706</v>
      </c>
      <c r="J81" t="s">
        <v>73</v>
      </c>
      <c r="K81" t="s">
        <v>74</v>
      </c>
      <c r="L81" s="7" t="s">
        <v>35</v>
      </c>
      <c r="M81" s="10"/>
      <c r="Z81" s="7" t="s">
        <v>242</v>
      </c>
      <c r="AA81" t="s">
        <v>547</v>
      </c>
    </row>
    <row r="82" spans="1:27">
      <c r="A82" t="s">
        <v>36</v>
      </c>
      <c r="B82" t="s">
        <v>306</v>
      </c>
      <c r="C82" t="s">
        <v>306</v>
      </c>
      <c r="D82" t="s">
        <v>297</v>
      </c>
      <c r="E82">
        <v>0</v>
      </c>
      <c r="F82" t="s">
        <v>38</v>
      </c>
      <c r="G82" s="57">
        <v>43736</v>
      </c>
      <c r="H82" t="s">
        <v>38</v>
      </c>
      <c r="I82" s="57">
        <v>43750.713576388887</v>
      </c>
      <c r="J82" t="s">
        <v>73</v>
      </c>
      <c r="K82" t="s">
        <v>74</v>
      </c>
      <c r="L82" s="7" t="s">
        <v>36</v>
      </c>
      <c r="M82" s="10"/>
      <c r="Z82" s="7" t="s">
        <v>242</v>
      </c>
      <c r="AA82" t="s">
        <v>549</v>
      </c>
    </row>
    <row r="83" spans="1:27">
      <c r="A83" t="s">
        <v>307</v>
      </c>
      <c r="B83" t="s">
        <v>308</v>
      </c>
      <c r="C83" t="s">
        <v>308</v>
      </c>
      <c r="D83" t="s">
        <v>297</v>
      </c>
      <c r="E83">
        <v>0</v>
      </c>
      <c r="F83" t="s">
        <v>38</v>
      </c>
      <c r="G83" s="57">
        <v>43736</v>
      </c>
      <c r="I83" s="57"/>
      <c r="J83" t="s">
        <v>74</v>
      </c>
      <c r="K83" t="s">
        <v>74</v>
      </c>
      <c r="L83" s="7" t="s">
        <v>307</v>
      </c>
      <c r="M83" s="10"/>
      <c r="Z83" s="7" t="s">
        <v>242</v>
      </c>
      <c r="AA83" t="s">
        <v>560</v>
      </c>
    </row>
    <row r="84" spans="1:27">
      <c r="A84" t="s">
        <v>39</v>
      </c>
      <c r="B84" t="s">
        <v>309</v>
      </c>
      <c r="C84" t="s">
        <v>309</v>
      </c>
      <c r="D84" t="s">
        <v>297</v>
      </c>
      <c r="E84">
        <v>0</v>
      </c>
      <c r="F84" t="s">
        <v>38</v>
      </c>
      <c r="G84" s="57">
        <v>43736</v>
      </c>
      <c r="H84" t="s">
        <v>38</v>
      </c>
      <c r="I84" s="57">
        <v>43874.643634259257</v>
      </c>
      <c r="J84" t="s">
        <v>73</v>
      </c>
      <c r="K84" t="s">
        <v>74</v>
      </c>
      <c r="L84" s="7" t="s">
        <v>39</v>
      </c>
      <c r="M84" s="10"/>
      <c r="Z84" s="7" t="s">
        <v>321</v>
      </c>
      <c r="AA84" t="s">
        <v>562</v>
      </c>
    </row>
    <row r="85" spans="1:27">
      <c r="A85" t="s">
        <v>310</v>
      </c>
      <c r="B85" t="s">
        <v>311</v>
      </c>
      <c r="C85" t="s">
        <v>311</v>
      </c>
      <c r="D85" t="s">
        <v>297</v>
      </c>
      <c r="E85">
        <v>0</v>
      </c>
      <c r="F85" t="s">
        <v>38</v>
      </c>
      <c r="G85" s="57">
        <v>43736</v>
      </c>
      <c r="I85" s="57"/>
      <c r="J85" t="s">
        <v>74</v>
      </c>
      <c r="K85" t="s">
        <v>74</v>
      </c>
      <c r="L85" s="7" t="s">
        <v>310</v>
      </c>
      <c r="M85" s="10"/>
      <c r="Z85" s="7" t="s">
        <v>242</v>
      </c>
      <c r="AA85" t="s">
        <v>564</v>
      </c>
    </row>
    <row r="86" spans="1:27">
      <c r="A86" t="s">
        <v>41</v>
      </c>
      <c r="B86" t="s">
        <v>312</v>
      </c>
      <c r="C86" t="s">
        <v>312</v>
      </c>
      <c r="D86" t="s">
        <v>297</v>
      </c>
      <c r="E86">
        <v>0</v>
      </c>
      <c r="F86" t="s">
        <v>38</v>
      </c>
      <c r="G86" s="57">
        <v>43736</v>
      </c>
      <c r="H86" t="s">
        <v>38</v>
      </c>
      <c r="I86" s="57">
        <v>43865.786666666667</v>
      </c>
      <c r="J86" t="s">
        <v>73</v>
      </c>
      <c r="K86" t="s">
        <v>74</v>
      </c>
      <c r="L86" s="7" t="s">
        <v>41</v>
      </c>
      <c r="M86" s="10"/>
      <c r="Z86" s="7" t="s">
        <v>321</v>
      </c>
      <c r="AA86" t="s">
        <v>828</v>
      </c>
    </row>
    <row r="87" spans="1:27">
      <c r="A87" t="s">
        <v>46</v>
      </c>
      <c r="B87" t="s">
        <v>313</v>
      </c>
      <c r="C87" t="s">
        <v>313</v>
      </c>
      <c r="D87" t="s">
        <v>297</v>
      </c>
      <c r="E87">
        <v>0</v>
      </c>
      <c r="F87" t="s">
        <v>38</v>
      </c>
      <c r="G87" s="57">
        <v>43736</v>
      </c>
      <c r="H87" t="s">
        <v>38</v>
      </c>
      <c r="I87" s="57">
        <v>43874.550138888888</v>
      </c>
      <c r="J87" t="s">
        <v>73</v>
      </c>
      <c r="K87" t="s">
        <v>74</v>
      </c>
      <c r="L87" s="7" t="s">
        <v>46</v>
      </c>
      <c r="M87" s="10"/>
      <c r="Z87" s="7" t="s">
        <v>321</v>
      </c>
      <c r="AA87" t="s">
        <v>1031</v>
      </c>
    </row>
    <row r="88" spans="1:27">
      <c r="A88" t="s">
        <v>37</v>
      </c>
      <c r="B88" t="s">
        <v>314</v>
      </c>
      <c r="C88" t="s">
        <v>314</v>
      </c>
      <c r="D88" t="s">
        <v>297</v>
      </c>
      <c r="E88">
        <v>0</v>
      </c>
      <c r="F88" t="s">
        <v>38</v>
      </c>
      <c r="G88" s="57">
        <v>43736</v>
      </c>
      <c r="H88" t="s">
        <v>38</v>
      </c>
      <c r="I88" s="57">
        <v>44034.644074074073</v>
      </c>
      <c r="J88" t="s">
        <v>73</v>
      </c>
      <c r="K88" t="s">
        <v>74</v>
      </c>
      <c r="L88" s="7" t="s">
        <v>37</v>
      </c>
      <c r="M88" s="10"/>
      <c r="Z88" s="7" t="s">
        <v>321</v>
      </c>
      <c r="AA88" t="s">
        <v>570</v>
      </c>
    </row>
    <row r="89" spans="1:27">
      <c r="A89" t="s">
        <v>315</v>
      </c>
      <c r="B89" t="s">
        <v>316</v>
      </c>
      <c r="C89" t="s">
        <v>316</v>
      </c>
      <c r="D89" t="s">
        <v>297</v>
      </c>
      <c r="E89">
        <v>0</v>
      </c>
      <c r="F89" t="s">
        <v>38</v>
      </c>
      <c r="G89" s="57">
        <v>43736</v>
      </c>
      <c r="I89" s="57"/>
      <c r="J89" t="s">
        <v>74</v>
      </c>
      <c r="K89" t="s">
        <v>74</v>
      </c>
      <c r="L89" s="7" t="s">
        <v>315</v>
      </c>
      <c r="M89" s="10"/>
      <c r="Z89" s="7" t="s">
        <v>321</v>
      </c>
      <c r="AA89" t="s">
        <v>574</v>
      </c>
    </row>
    <row r="90" spans="1:27">
      <c r="A90" t="s">
        <v>317</v>
      </c>
      <c r="B90" t="s">
        <v>318</v>
      </c>
      <c r="C90" t="s">
        <v>318</v>
      </c>
      <c r="D90" t="s">
        <v>297</v>
      </c>
      <c r="E90">
        <v>0</v>
      </c>
      <c r="F90" t="s">
        <v>38</v>
      </c>
      <c r="G90" s="57">
        <v>43736</v>
      </c>
      <c r="I90" s="57"/>
      <c r="J90" t="s">
        <v>74</v>
      </c>
      <c r="K90" t="s">
        <v>74</v>
      </c>
      <c r="L90" s="7" t="s">
        <v>317</v>
      </c>
      <c r="M90" s="10"/>
      <c r="Z90" s="7" t="s">
        <v>242</v>
      </c>
      <c r="AA90" t="s">
        <v>642</v>
      </c>
    </row>
    <row r="91" spans="1:27">
      <c r="A91" t="s">
        <v>322</v>
      </c>
      <c r="B91" t="s">
        <v>323</v>
      </c>
      <c r="C91" t="s">
        <v>323</v>
      </c>
      <c r="D91" t="s">
        <v>321</v>
      </c>
      <c r="E91">
        <v>0</v>
      </c>
      <c r="F91" t="s">
        <v>38</v>
      </c>
      <c r="G91" s="57">
        <v>43736</v>
      </c>
      <c r="I91" s="57"/>
      <c r="J91" t="s">
        <v>74</v>
      </c>
      <c r="K91" t="s">
        <v>74</v>
      </c>
      <c r="L91" s="7" t="s">
        <v>322</v>
      </c>
      <c r="M91" s="10"/>
      <c r="Z91" s="7" t="s">
        <v>321</v>
      </c>
      <c r="AA91" t="s">
        <v>250</v>
      </c>
    </row>
    <row r="92" spans="1:27">
      <c r="A92" t="s">
        <v>324</v>
      </c>
      <c r="B92" t="s">
        <v>325</v>
      </c>
      <c r="C92" t="s">
        <v>325</v>
      </c>
      <c r="D92" t="s">
        <v>321</v>
      </c>
      <c r="E92">
        <v>0</v>
      </c>
      <c r="F92" t="s">
        <v>38</v>
      </c>
      <c r="G92" s="57">
        <v>43736</v>
      </c>
      <c r="I92" s="57"/>
      <c r="J92" t="s">
        <v>74</v>
      </c>
      <c r="K92" t="s">
        <v>74</v>
      </c>
      <c r="L92" s="7" t="s">
        <v>324</v>
      </c>
      <c r="M92" s="10"/>
      <c r="Z92" s="7" t="s">
        <v>242</v>
      </c>
      <c r="AA92" t="s">
        <v>649</v>
      </c>
    </row>
    <row r="93" spans="1:27">
      <c r="A93" t="s">
        <v>326</v>
      </c>
      <c r="B93" t="s">
        <v>327</v>
      </c>
      <c r="C93" t="s">
        <v>327</v>
      </c>
      <c r="D93" t="s">
        <v>321</v>
      </c>
      <c r="E93">
        <v>0</v>
      </c>
      <c r="F93" t="s">
        <v>38</v>
      </c>
      <c r="G93" s="57">
        <v>43736</v>
      </c>
      <c r="I93" s="57"/>
      <c r="J93" t="s">
        <v>74</v>
      </c>
      <c r="K93" t="s">
        <v>74</v>
      </c>
      <c r="L93" s="7" t="s">
        <v>326</v>
      </c>
      <c r="M93" s="10"/>
      <c r="Z93" s="7" t="s">
        <v>242</v>
      </c>
      <c r="AA93" t="s">
        <v>651</v>
      </c>
    </row>
    <row r="94" spans="1:27">
      <c r="A94" t="s">
        <v>328</v>
      </c>
      <c r="B94" t="s">
        <v>329</v>
      </c>
      <c r="C94" t="s">
        <v>329</v>
      </c>
      <c r="D94" t="s">
        <v>321</v>
      </c>
      <c r="E94">
        <v>0</v>
      </c>
      <c r="F94" t="s">
        <v>38</v>
      </c>
      <c r="G94" s="57">
        <v>43736</v>
      </c>
      <c r="I94" s="57"/>
      <c r="J94" t="s">
        <v>74</v>
      </c>
      <c r="K94" t="s">
        <v>74</v>
      </c>
      <c r="L94" s="7" t="s">
        <v>328</v>
      </c>
      <c r="M94" s="10"/>
      <c r="Z94" s="7" t="s">
        <v>242</v>
      </c>
      <c r="AA94" t="s">
        <v>653</v>
      </c>
    </row>
    <row r="95" spans="1:27">
      <c r="A95" t="s">
        <v>330</v>
      </c>
      <c r="B95" t="s">
        <v>331</v>
      </c>
      <c r="C95" t="s">
        <v>331</v>
      </c>
      <c r="D95" t="s">
        <v>321</v>
      </c>
      <c r="E95">
        <v>0</v>
      </c>
      <c r="F95" t="s">
        <v>38</v>
      </c>
      <c r="G95" s="57">
        <v>43736</v>
      </c>
      <c r="I95" s="57"/>
      <c r="J95" t="s">
        <v>74</v>
      </c>
      <c r="K95" t="s">
        <v>74</v>
      </c>
      <c r="L95" s="7" t="s">
        <v>330</v>
      </c>
      <c r="M95" s="10"/>
      <c r="Z95" s="7" t="s">
        <v>242</v>
      </c>
      <c r="AA95" t="s">
        <v>661</v>
      </c>
    </row>
    <row r="96" spans="1:27">
      <c r="A96" t="s">
        <v>332</v>
      </c>
      <c r="B96" t="s">
        <v>333</v>
      </c>
      <c r="C96" t="s">
        <v>333</v>
      </c>
      <c r="D96" t="s">
        <v>321</v>
      </c>
      <c r="E96">
        <v>0</v>
      </c>
      <c r="F96" t="s">
        <v>38</v>
      </c>
      <c r="G96" s="57">
        <v>43736</v>
      </c>
      <c r="I96" s="57"/>
      <c r="J96" t="s">
        <v>74</v>
      </c>
      <c r="K96" t="s">
        <v>74</v>
      </c>
      <c r="L96" s="7" t="s">
        <v>332</v>
      </c>
      <c r="M96" s="10"/>
      <c r="Z96" s="7" t="s">
        <v>242</v>
      </c>
      <c r="AA96" t="s">
        <v>413</v>
      </c>
    </row>
    <row r="97" spans="1:27">
      <c r="A97" t="s">
        <v>334</v>
      </c>
      <c r="B97" t="s">
        <v>335</v>
      </c>
      <c r="C97" t="s">
        <v>335</v>
      </c>
      <c r="D97" t="s">
        <v>321</v>
      </c>
      <c r="E97">
        <v>0</v>
      </c>
      <c r="F97" t="s">
        <v>38</v>
      </c>
      <c r="G97" s="57">
        <v>43736</v>
      </c>
      <c r="I97" s="57"/>
      <c r="J97" t="s">
        <v>74</v>
      </c>
      <c r="K97" t="s">
        <v>74</v>
      </c>
      <c r="L97" s="7" t="s">
        <v>334</v>
      </c>
      <c r="M97" s="10"/>
      <c r="Z97" s="7" t="s">
        <v>321</v>
      </c>
      <c r="AA97" t="s">
        <v>830</v>
      </c>
    </row>
    <row r="98" spans="1:27">
      <c r="A98" t="s">
        <v>336</v>
      </c>
      <c r="B98" t="s">
        <v>337</v>
      </c>
      <c r="C98" t="s">
        <v>337</v>
      </c>
      <c r="D98" t="s">
        <v>321</v>
      </c>
      <c r="E98">
        <v>0</v>
      </c>
      <c r="F98" t="s">
        <v>38</v>
      </c>
      <c r="G98" s="57">
        <v>43736</v>
      </c>
      <c r="I98" s="57"/>
      <c r="J98" t="s">
        <v>74</v>
      </c>
      <c r="K98" t="s">
        <v>74</v>
      </c>
      <c r="L98" s="7" t="s">
        <v>336</v>
      </c>
      <c r="M98" s="10"/>
      <c r="Z98" s="7" t="s">
        <v>242</v>
      </c>
      <c r="AA98" t="s">
        <v>665</v>
      </c>
    </row>
    <row r="99" spans="1:27">
      <c r="A99" t="s">
        <v>338</v>
      </c>
      <c r="B99" t="s">
        <v>339</v>
      </c>
      <c r="C99" t="s">
        <v>339</v>
      </c>
      <c r="D99" t="s">
        <v>321</v>
      </c>
      <c r="E99">
        <v>0</v>
      </c>
      <c r="F99" t="s">
        <v>38</v>
      </c>
      <c r="G99" s="57">
        <v>43736</v>
      </c>
      <c r="I99" s="57"/>
      <c r="J99" t="s">
        <v>74</v>
      </c>
      <c r="K99" t="s">
        <v>74</v>
      </c>
      <c r="L99" s="7" t="s">
        <v>338</v>
      </c>
      <c r="M99" s="10"/>
      <c r="Z99" s="7" t="s">
        <v>321</v>
      </c>
      <c r="AA99" t="s">
        <v>280</v>
      </c>
    </row>
    <row r="100" spans="1:27">
      <c r="A100" t="s">
        <v>340</v>
      </c>
      <c r="B100" t="s">
        <v>341</v>
      </c>
      <c r="C100" t="s">
        <v>341</v>
      </c>
      <c r="D100" t="s">
        <v>321</v>
      </c>
      <c r="E100">
        <v>0</v>
      </c>
      <c r="F100" t="s">
        <v>38</v>
      </c>
      <c r="G100" s="57">
        <v>43736</v>
      </c>
      <c r="I100" s="57"/>
      <c r="J100" t="s">
        <v>74</v>
      </c>
      <c r="K100" t="s">
        <v>74</v>
      </c>
      <c r="L100" s="7" t="s">
        <v>340</v>
      </c>
      <c r="M100" s="10"/>
      <c r="Z100" s="7" t="s">
        <v>242</v>
      </c>
      <c r="AA100" t="s">
        <v>668</v>
      </c>
    </row>
    <row r="101" spans="1:27">
      <c r="A101" t="s">
        <v>342</v>
      </c>
      <c r="B101" t="s">
        <v>343</v>
      </c>
      <c r="C101" t="s">
        <v>343</v>
      </c>
      <c r="D101" t="s">
        <v>321</v>
      </c>
      <c r="E101">
        <v>0</v>
      </c>
      <c r="F101" t="s">
        <v>38</v>
      </c>
      <c r="G101" s="57">
        <v>43736</v>
      </c>
      <c r="I101" s="57"/>
      <c r="J101" t="s">
        <v>74</v>
      </c>
      <c r="K101" t="s">
        <v>74</v>
      </c>
      <c r="L101" s="7" t="s">
        <v>342</v>
      </c>
      <c r="M101" s="10"/>
      <c r="Z101" s="7" t="s">
        <v>321</v>
      </c>
      <c r="AA101" t="s">
        <v>670</v>
      </c>
    </row>
    <row r="102" spans="1:27">
      <c r="A102" t="s">
        <v>344</v>
      </c>
      <c r="B102" t="s">
        <v>345</v>
      </c>
      <c r="C102" t="s">
        <v>345</v>
      </c>
      <c r="D102" t="s">
        <v>321</v>
      </c>
      <c r="E102">
        <v>0</v>
      </c>
      <c r="F102" t="s">
        <v>38</v>
      </c>
      <c r="G102" s="57">
        <v>43736</v>
      </c>
      <c r="I102" s="57"/>
      <c r="J102" t="s">
        <v>74</v>
      </c>
      <c r="K102" t="s">
        <v>74</v>
      </c>
      <c r="L102" s="7" t="s">
        <v>344</v>
      </c>
      <c r="M102" s="10"/>
      <c r="Z102" s="7" t="s">
        <v>242</v>
      </c>
      <c r="AA102" t="s">
        <v>670</v>
      </c>
    </row>
    <row r="103" spans="1:27">
      <c r="A103" t="s">
        <v>346</v>
      </c>
      <c r="B103" t="s">
        <v>347</v>
      </c>
      <c r="C103" t="s">
        <v>347</v>
      </c>
      <c r="D103" t="s">
        <v>321</v>
      </c>
      <c r="E103">
        <v>0</v>
      </c>
      <c r="F103" t="s">
        <v>38</v>
      </c>
      <c r="G103" s="57">
        <v>43736</v>
      </c>
      <c r="I103" s="57"/>
      <c r="J103" t="s">
        <v>74</v>
      </c>
      <c r="K103" t="s">
        <v>74</v>
      </c>
      <c r="L103" s="7" t="s">
        <v>346</v>
      </c>
      <c r="M103" s="10"/>
      <c r="Z103" s="7" t="s">
        <v>321</v>
      </c>
      <c r="AA103" t="s">
        <v>831</v>
      </c>
    </row>
    <row r="104" spans="1:27">
      <c r="A104" t="s">
        <v>348</v>
      </c>
      <c r="B104" t="s">
        <v>349</v>
      </c>
      <c r="C104" t="s">
        <v>349</v>
      </c>
      <c r="D104" t="s">
        <v>321</v>
      </c>
      <c r="E104">
        <v>0</v>
      </c>
      <c r="F104" t="s">
        <v>38</v>
      </c>
      <c r="G104" s="57">
        <v>43736</v>
      </c>
      <c r="I104" s="57"/>
      <c r="J104" t="s">
        <v>74</v>
      </c>
      <c r="K104" t="s">
        <v>74</v>
      </c>
      <c r="L104" s="7" t="s">
        <v>348</v>
      </c>
      <c r="M104" s="10"/>
      <c r="Z104" s="7" t="s">
        <v>321</v>
      </c>
      <c r="AA104" t="s">
        <v>832</v>
      </c>
    </row>
    <row r="105" spans="1:27">
      <c r="A105" t="s">
        <v>350</v>
      </c>
      <c r="B105" t="s">
        <v>351</v>
      </c>
      <c r="C105" t="s">
        <v>351</v>
      </c>
      <c r="D105" t="s">
        <v>321</v>
      </c>
      <c r="E105">
        <v>0</v>
      </c>
      <c r="F105" t="s">
        <v>38</v>
      </c>
      <c r="G105" s="57">
        <v>43736</v>
      </c>
      <c r="I105" s="57"/>
      <c r="J105" t="s">
        <v>74</v>
      </c>
      <c r="K105" t="s">
        <v>74</v>
      </c>
      <c r="L105" s="7" t="s">
        <v>350</v>
      </c>
      <c r="M105" s="10"/>
      <c r="Z105" s="7" t="s">
        <v>242</v>
      </c>
      <c r="AA105" t="s">
        <v>677</v>
      </c>
    </row>
    <row r="106" spans="1:27">
      <c r="A106" t="s">
        <v>352</v>
      </c>
      <c r="B106" t="s">
        <v>353</v>
      </c>
      <c r="C106" t="s">
        <v>353</v>
      </c>
      <c r="D106" t="s">
        <v>321</v>
      </c>
      <c r="E106">
        <v>0</v>
      </c>
      <c r="F106" t="s">
        <v>38</v>
      </c>
      <c r="G106" s="57">
        <v>43736</v>
      </c>
      <c r="I106" s="57"/>
      <c r="J106" t="s">
        <v>74</v>
      </c>
      <c r="K106" t="s">
        <v>74</v>
      </c>
      <c r="L106" s="7" t="s">
        <v>352</v>
      </c>
      <c r="M106" s="10"/>
      <c r="Z106" s="7" t="s">
        <v>242</v>
      </c>
      <c r="AA106" t="s">
        <v>679</v>
      </c>
    </row>
    <row r="107" spans="1:27">
      <c r="A107" t="s">
        <v>354</v>
      </c>
      <c r="B107" t="s">
        <v>355</v>
      </c>
      <c r="C107" t="s">
        <v>355</v>
      </c>
      <c r="D107" t="s">
        <v>321</v>
      </c>
      <c r="E107">
        <v>0</v>
      </c>
      <c r="F107" t="s">
        <v>38</v>
      </c>
      <c r="G107" s="57">
        <v>43736</v>
      </c>
      <c r="I107" s="57"/>
      <c r="J107" t="s">
        <v>74</v>
      </c>
      <c r="K107" t="s">
        <v>74</v>
      </c>
      <c r="L107" s="7" t="s">
        <v>354</v>
      </c>
      <c r="M107" s="10"/>
      <c r="Z107" s="7" t="s">
        <v>321</v>
      </c>
      <c r="AA107" t="s">
        <v>681</v>
      </c>
    </row>
    <row r="108" spans="1:27">
      <c r="A108" t="s">
        <v>356</v>
      </c>
      <c r="B108" t="s">
        <v>357</v>
      </c>
      <c r="C108" t="s">
        <v>357</v>
      </c>
      <c r="D108" t="s">
        <v>321</v>
      </c>
      <c r="E108">
        <v>0</v>
      </c>
      <c r="F108" t="s">
        <v>38</v>
      </c>
      <c r="G108" s="57">
        <v>43736</v>
      </c>
      <c r="I108" s="57"/>
      <c r="J108" t="s">
        <v>74</v>
      </c>
      <c r="K108" t="s">
        <v>74</v>
      </c>
      <c r="L108" s="7" t="s">
        <v>356</v>
      </c>
      <c r="M108" s="10"/>
      <c r="Z108" s="7" t="s">
        <v>242</v>
      </c>
      <c r="AA108" t="s">
        <v>681</v>
      </c>
    </row>
    <row r="109" spans="1:27">
      <c r="A109" t="s">
        <v>358</v>
      </c>
      <c r="B109" t="s">
        <v>359</v>
      </c>
      <c r="C109" t="s">
        <v>359</v>
      </c>
      <c r="D109" t="s">
        <v>321</v>
      </c>
      <c r="E109">
        <v>0</v>
      </c>
      <c r="F109" t="s">
        <v>38</v>
      </c>
      <c r="G109" s="57">
        <v>43736</v>
      </c>
      <c r="I109" s="57"/>
      <c r="J109" t="s">
        <v>74</v>
      </c>
      <c r="K109" t="s">
        <v>74</v>
      </c>
      <c r="L109" s="7" t="s">
        <v>358</v>
      </c>
      <c r="M109" s="10"/>
      <c r="Z109" s="7" t="s">
        <v>242</v>
      </c>
      <c r="AA109" t="s">
        <v>686</v>
      </c>
    </row>
    <row r="110" spans="1:27">
      <c r="A110" t="s">
        <v>360</v>
      </c>
      <c r="B110" t="s">
        <v>361</v>
      </c>
      <c r="C110" t="s">
        <v>361</v>
      </c>
      <c r="D110" t="s">
        <v>321</v>
      </c>
      <c r="E110">
        <v>0</v>
      </c>
      <c r="F110" t="s">
        <v>38</v>
      </c>
      <c r="G110" s="57">
        <v>43736</v>
      </c>
      <c r="I110" s="57"/>
      <c r="J110" t="s">
        <v>74</v>
      </c>
      <c r="K110" t="s">
        <v>74</v>
      </c>
      <c r="L110" s="7" t="s">
        <v>360</v>
      </c>
      <c r="M110" s="10"/>
      <c r="Z110" s="7" t="s">
        <v>321</v>
      </c>
      <c r="AA110" t="s">
        <v>688</v>
      </c>
    </row>
    <row r="111" spans="1:27">
      <c r="A111" t="s">
        <v>362</v>
      </c>
      <c r="B111" t="s">
        <v>363</v>
      </c>
      <c r="C111" t="s">
        <v>363</v>
      </c>
      <c r="D111" t="s">
        <v>321</v>
      </c>
      <c r="E111">
        <v>0</v>
      </c>
      <c r="F111" t="s">
        <v>38</v>
      </c>
      <c r="G111" s="57">
        <v>43736</v>
      </c>
      <c r="I111" s="57"/>
      <c r="J111" t="s">
        <v>74</v>
      </c>
      <c r="K111" t="s">
        <v>74</v>
      </c>
      <c r="L111" s="7" t="s">
        <v>362</v>
      </c>
      <c r="M111" s="10"/>
      <c r="Z111" s="7" t="s">
        <v>242</v>
      </c>
      <c r="AA111" t="s">
        <v>690</v>
      </c>
    </row>
    <row r="112" spans="1:27">
      <c r="A112" t="s">
        <v>364</v>
      </c>
      <c r="B112" t="s">
        <v>365</v>
      </c>
      <c r="C112" t="s">
        <v>365</v>
      </c>
      <c r="D112" t="s">
        <v>321</v>
      </c>
      <c r="E112">
        <v>0</v>
      </c>
      <c r="F112" t="s">
        <v>38</v>
      </c>
      <c r="G112" s="57">
        <v>43736</v>
      </c>
      <c r="I112" s="57"/>
      <c r="J112" t="s">
        <v>74</v>
      </c>
      <c r="K112" t="s">
        <v>74</v>
      </c>
      <c r="L112" s="7" t="s">
        <v>364</v>
      </c>
      <c r="M112" s="10"/>
      <c r="Z112" s="7" t="s">
        <v>321</v>
      </c>
      <c r="AA112" t="s">
        <v>692</v>
      </c>
    </row>
    <row r="113" spans="1:27">
      <c r="A113" t="s">
        <v>366</v>
      </c>
      <c r="B113" t="s">
        <v>367</v>
      </c>
      <c r="C113" t="s">
        <v>367</v>
      </c>
      <c r="D113" t="s">
        <v>321</v>
      </c>
      <c r="E113">
        <v>0</v>
      </c>
      <c r="F113" t="s">
        <v>38</v>
      </c>
      <c r="G113" s="57">
        <v>43736</v>
      </c>
      <c r="I113" s="57"/>
      <c r="J113" t="s">
        <v>74</v>
      </c>
      <c r="K113" t="s">
        <v>74</v>
      </c>
      <c r="L113" s="7" t="s">
        <v>366</v>
      </c>
      <c r="M113" s="10"/>
      <c r="Z113" s="7" t="s">
        <v>321</v>
      </c>
      <c r="AA113" t="s">
        <v>694</v>
      </c>
    </row>
    <row r="114" spans="1:27">
      <c r="A114" t="s">
        <v>368</v>
      </c>
      <c r="B114" t="s">
        <v>369</v>
      </c>
      <c r="C114" t="s">
        <v>369</v>
      </c>
      <c r="D114" t="s">
        <v>321</v>
      </c>
      <c r="E114">
        <v>0</v>
      </c>
      <c r="F114" t="s">
        <v>38</v>
      </c>
      <c r="G114" s="57">
        <v>43736</v>
      </c>
      <c r="I114" s="57"/>
      <c r="J114" t="s">
        <v>74</v>
      </c>
      <c r="K114" t="s">
        <v>74</v>
      </c>
      <c r="L114" s="7" t="s">
        <v>368</v>
      </c>
      <c r="M114" s="10"/>
      <c r="Z114" s="7" t="s">
        <v>321</v>
      </c>
      <c r="AA114" t="s">
        <v>696</v>
      </c>
    </row>
    <row r="115" spans="1:27">
      <c r="A115" t="s">
        <v>370</v>
      </c>
      <c r="B115" t="s">
        <v>371</v>
      </c>
      <c r="C115" t="s">
        <v>371</v>
      </c>
      <c r="D115" t="s">
        <v>321</v>
      </c>
      <c r="E115">
        <v>0</v>
      </c>
      <c r="F115" t="s">
        <v>38</v>
      </c>
      <c r="G115" s="57">
        <v>43736</v>
      </c>
      <c r="I115" s="57"/>
      <c r="J115" t="s">
        <v>74</v>
      </c>
      <c r="K115" t="s">
        <v>74</v>
      </c>
      <c r="L115" s="7" t="s">
        <v>370</v>
      </c>
      <c r="M115" s="10"/>
      <c r="Z115" s="7" t="s">
        <v>321</v>
      </c>
      <c r="AA115" t="s">
        <v>698</v>
      </c>
    </row>
    <row r="116" spans="1:27">
      <c r="A116" t="s">
        <v>372</v>
      </c>
      <c r="B116" t="s">
        <v>373</v>
      </c>
      <c r="C116" t="s">
        <v>373</v>
      </c>
      <c r="D116" t="s">
        <v>321</v>
      </c>
      <c r="E116">
        <v>0</v>
      </c>
      <c r="F116" t="s">
        <v>38</v>
      </c>
      <c r="G116" s="57">
        <v>43736</v>
      </c>
      <c r="I116" s="57"/>
      <c r="J116" t="s">
        <v>74</v>
      </c>
      <c r="K116" t="s">
        <v>74</v>
      </c>
      <c r="L116" s="7" t="s">
        <v>372</v>
      </c>
      <c r="M116" s="10"/>
      <c r="Z116" s="7" t="s">
        <v>242</v>
      </c>
      <c r="AA116" t="s">
        <v>700</v>
      </c>
    </row>
    <row r="117" spans="1:27">
      <c r="A117" t="s">
        <v>374</v>
      </c>
      <c r="B117" t="s">
        <v>375</v>
      </c>
      <c r="C117" t="s">
        <v>375</v>
      </c>
      <c r="D117" t="s">
        <v>321</v>
      </c>
      <c r="E117">
        <v>0</v>
      </c>
      <c r="F117" t="s">
        <v>38</v>
      </c>
      <c r="G117" s="57">
        <v>43736</v>
      </c>
      <c r="I117" s="57"/>
      <c r="J117" t="s">
        <v>74</v>
      </c>
      <c r="K117" t="s">
        <v>74</v>
      </c>
      <c r="L117" s="7" t="s">
        <v>374</v>
      </c>
      <c r="M117" s="10"/>
      <c r="Z117" s="7" t="s">
        <v>242</v>
      </c>
      <c r="AA117" t="s">
        <v>702</v>
      </c>
    </row>
    <row r="118" spans="1:27">
      <c r="A118" t="s">
        <v>376</v>
      </c>
      <c r="B118" t="s">
        <v>377</v>
      </c>
      <c r="C118" t="s">
        <v>377</v>
      </c>
      <c r="D118" t="s">
        <v>321</v>
      </c>
      <c r="E118">
        <v>0</v>
      </c>
      <c r="F118" t="s">
        <v>38</v>
      </c>
      <c r="G118" s="57">
        <v>43736</v>
      </c>
      <c r="I118" s="57"/>
      <c r="J118" t="s">
        <v>74</v>
      </c>
      <c r="K118" t="s">
        <v>74</v>
      </c>
      <c r="L118" s="7" t="s">
        <v>376</v>
      </c>
      <c r="M118" s="10"/>
      <c r="Z118" s="7" t="s">
        <v>321</v>
      </c>
      <c r="AA118" t="s">
        <v>704</v>
      </c>
    </row>
    <row r="119" spans="1:27">
      <c r="A119" t="s">
        <v>378</v>
      </c>
      <c r="B119" t="s">
        <v>379</v>
      </c>
      <c r="C119" t="s">
        <v>379</v>
      </c>
      <c r="D119" t="s">
        <v>321</v>
      </c>
      <c r="E119">
        <v>0</v>
      </c>
      <c r="F119" t="s">
        <v>38</v>
      </c>
      <c r="G119" s="57">
        <v>43736</v>
      </c>
      <c r="I119" s="57"/>
      <c r="J119" t="s">
        <v>74</v>
      </c>
      <c r="K119" t="s">
        <v>74</v>
      </c>
      <c r="L119" s="7" t="s">
        <v>378</v>
      </c>
      <c r="M119" s="10"/>
      <c r="Z119" s="7" t="s">
        <v>321</v>
      </c>
      <c r="AA119" t="s">
        <v>706</v>
      </c>
    </row>
    <row r="120" spans="1:27">
      <c r="A120" t="s">
        <v>380</v>
      </c>
      <c r="B120" t="s">
        <v>381</v>
      </c>
      <c r="C120" t="s">
        <v>381</v>
      </c>
      <c r="D120" t="s">
        <v>321</v>
      </c>
      <c r="E120">
        <v>0</v>
      </c>
      <c r="F120" t="s">
        <v>38</v>
      </c>
      <c r="G120" s="57">
        <v>43736</v>
      </c>
      <c r="I120" s="57"/>
      <c r="J120" t="s">
        <v>74</v>
      </c>
      <c r="K120" t="s">
        <v>74</v>
      </c>
      <c r="L120" s="7" t="s">
        <v>380</v>
      </c>
      <c r="M120" s="10"/>
      <c r="Z120" s="7" t="s">
        <v>242</v>
      </c>
      <c r="AA120" t="s">
        <v>708</v>
      </c>
    </row>
    <row r="121" spans="1:27">
      <c r="A121" t="s">
        <v>382</v>
      </c>
      <c r="B121" t="s">
        <v>383</v>
      </c>
      <c r="C121" t="s">
        <v>383</v>
      </c>
      <c r="D121" t="s">
        <v>321</v>
      </c>
      <c r="E121">
        <v>0</v>
      </c>
      <c r="F121" t="s">
        <v>38</v>
      </c>
      <c r="G121" s="57">
        <v>43736</v>
      </c>
      <c r="I121" s="57"/>
      <c r="J121" t="s">
        <v>74</v>
      </c>
      <c r="K121" t="s">
        <v>74</v>
      </c>
      <c r="L121" s="7" t="s">
        <v>382</v>
      </c>
      <c r="M121" s="10"/>
      <c r="Z121" s="7" t="s">
        <v>242</v>
      </c>
      <c r="AA121" t="s">
        <v>710</v>
      </c>
    </row>
    <row r="122" spans="1:27">
      <c r="A122" t="s">
        <v>384</v>
      </c>
      <c r="B122" t="s">
        <v>385</v>
      </c>
      <c r="C122" t="s">
        <v>385</v>
      </c>
      <c r="D122" t="s">
        <v>321</v>
      </c>
      <c r="E122">
        <v>0</v>
      </c>
      <c r="F122" t="s">
        <v>38</v>
      </c>
      <c r="G122" s="57">
        <v>43736</v>
      </c>
      <c r="I122" s="57"/>
      <c r="J122" t="s">
        <v>74</v>
      </c>
      <c r="K122" t="s">
        <v>74</v>
      </c>
      <c r="L122" s="7" t="s">
        <v>384</v>
      </c>
      <c r="M122" s="10"/>
      <c r="Z122" s="7" t="s">
        <v>242</v>
      </c>
      <c r="AA122" t="s">
        <v>712</v>
      </c>
    </row>
    <row r="123" spans="1:27">
      <c r="A123" t="s">
        <v>386</v>
      </c>
      <c r="B123" t="s">
        <v>387</v>
      </c>
      <c r="C123" t="s">
        <v>387</v>
      </c>
      <c r="D123" t="s">
        <v>321</v>
      </c>
      <c r="E123">
        <v>0</v>
      </c>
      <c r="F123" t="s">
        <v>38</v>
      </c>
      <c r="G123" s="57">
        <v>43736</v>
      </c>
      <c r="I123" s="57"/>
      <c r="J123" t="s">
        <v>74</v>
      </c>
      <c r="K123" t="s">
        <v>74</v>
      </c>
      <c r="L123" s="7" t="s">
        <v>386</v>
      </c>
      <c r="M123" s="10"/>
      <c r="Z123" s="7" t="s">
        <v>242</v>
      </c>
      <c r="AA123" t="s">
        <v>714</v>
      </c>
    </row>
    <row r="124" spans="1:27">
      <c r="A124" t="s">
        <v>388</v>
      </c>
      <c r="B124" t="s">
        <v>389</v>
      </c>
      <c r="C124" t="s">
        <v>389</v>
      </c>
      <c r="D124" t="s">
        <v>321</v>
      </c>
      <c r="E124">
        <v>0</v>
      </c>
      <c r="F124" t="s">
        <v>38</v>
      </c>
      <c r="G124" s="57">
        <v>43736</v>
      </c>
      <c r="I124" s="57"/>
      <c r="J124" t="s">
        <v>74</v>
      </c>
      <c r="K124" t="s">
        <v>74</v>
      </c>
      <c r="L124" s="7" t="s">
        <v>388</v>
      </c>
      <c r="M124" s="10"/>
      <c r="Z124" s="7" t="s">
        <v>321</v>
      </c>
      <c r="AA124" t="s">
        <v>716</v>
      </c>
    </row>
    <row r="125" spans="1:27">
      <c r="A125" t="s">
        <v>390</v>
      </c>
      <c r="B125" t="s">
        <v>391</v>
      </c>
      <c r="C125" t="s">
        <v>391</v>
      </c>
      <c r="D125" t="s">
        <v>321</v>
      </c>
      <c r="E125">
        <v>0</v>
      </c>
      <c r="F125" t="s">
        <v>38</v>
      </c>
      <c r="G125" s="57">
        <v>43736</v>
      </c>
      <c r="H125" t="s">
        <v>76</v>
      </c>
      <c r="I125" s="57">
        <v>43880.853425925925</v>
      </c>
      <c r="J125" t="s">
        <v>73</v>
      </c>
      <c r="K125" t="s">
        <v>74</v>
      </c>
      <c r="L125" s="7" t="s">
        <v>390</v>
      </c>
      <c r="M125" s="10"/>
      <c r="Z125" s="7" t="s">
        <v>242</v>
      </c>
      <c r="AA125" t="s">
        <v>718</v>
      </c>
    </row>
    <row r="126" spans="1:27">
      <c r="A126" t="s">
        <v>392</v>
      </c>
      <c r="B126" t="s">
        <v>393</v>
      </c>
      <c r="C126" t="s">
        <v>393</v>
      </c>
      <c r="D126" t="s">
        <v>321</v>
      </c>
      <c r="E126">
        <v>0</v>
      </c>
      <c r="F126" t="s">
        <v>38</v>
      </c>
      <c r="G126" s="57">
        <v>43736</v>
      </c>
      <c r="I126" s="57"/>
      <c r="J126" t="s">
        <v>74</v>
      </c>
      <c r="K126" t="s">
        <v>74</v>
      </c>
      <c r="L126" s="7" t="s">
        <v>392</v>
      </c>
      <c r="M126" s="10"/>
      <c r="Z126" s="7" t="s">
        <v>242</v>
      </c>
      <c r="AA126" t="s">
        <v>720</v>
      </c>
    </row>
    <row r="127" spans="1:27">
      <c r="A127" t="s">
        <v>394</v>
      </c>
      <c r="B127" t="s">
        <v>395</v>
      </c>
      <c r="C127" t="s">
        <v>395</v>
      </c>
      <c r="D127" t="s">
        <v>321</v>
      </c>
      <c r="E127">
        <v>0</v>
      </c>
      <c r="F127" t="s">
        <v>38</v>
      </c>
      <c r="G127" s="57">
        <v>43736</v>
      </c>
      <c r="I127" s="57"/>
      <c r="J127" t="s">
        <v>74</v>
      </c>
      <c r="K127" t="s">
        <v>74</v>
      </c>
      <c r="L127" s="7" t="s">
        <v>394</v>
      </c>
      <c r="M127" s="10"/>
      <c r="Z127" s="7" t="s">
        <v>242</v>
      </c>
      <c r="AA127" t="s">
        <v>722</v>
      </c>
    </row>
    <row r="128" spans="1:27">
      <c r="A128" t="s">
        <v>396</v>
      </c>
      <c r="B128" t="s">
        <v>397</v>
      </c>
      <c r="C128" t="s">
        <v>397</v>
      </c>
      <c r="D128" t="s">
        <v>321</v>
      </c>
      <c r="E128">
        <v>0</v>
      </c>
      <c r="F128" t="s">
        <v>38</v>
      </c>
      <c r="G128" s="57">
        <v>43736</v>
      </c>
      <c r="H128" t="s">
        <v>38</v>
      </c>
      <c r="I128" s="57">
        <v>43872.858067129629</v>
      </c>
      <c r="J128" t="s">
        <v>73</v>
      </c>
      <c r="K128" t="s">
        <v>74</v>
      </c>
      <c r="L128" s="7" t="s">
        <v>396</v>
      </c>
      <c r="M128" s="10"/>
      <c r="Z128" s="7" t="s">
        <v>321</v>
      </c>
      <c r="AA128" t="s">
        <v>724</v>
      </c>
    </row>
    <row r="129" spans="1:27">
      <c r="A129" t="s">
        <v>398</v>
      </c>
      <c r="B129" t="s">
        <v>399</v>
      </c>
      <c r="C129" t="s">
        <v>399</v>
      </c>
      <c r="D129" t="s">
        <v>321</v>
      </c>
      <c r="E129">
        <v>0</v>
      </c>
      <c r="F129" t="s">
        <v>38</v>
      </c>
      <c r="G129" s="57">
        <v>43736</v>
      </c>
      <c r="I129" s="57"/>
      <c r="J129" t="s">
        <v>74</v>
      </c>
      <c r="K129" t="s">
        <v>74</v>
      </c>
      <c r="L129" s="7" t="s">
        <v>398</v>
      </c>
      <c r="M129" s="10"/>
      <c r="Z129" s="7" t="s">
        <v>321</v>
      </c>
      <c r="AA129" t="s">
        <v>1034</v>
      </c>
    </row>
    <row r="130" spans="1:27">
      <c r="A130" t="s">
        <v>400</v>
      </c>
      <c r="B130" t="s">
        <v>401</v>
      </c>
      <c r="C130" t="s">
        <v>401</v>
      </c>
      <c r="D130" t="s">
        <v>321</v>
      </c>
      <c r="E130">
        <v>0</v>
      </c>
      <c r="F130" t="s">
        <v>38</v>
      </c>
      <c r="G130" s="57">
        <v>43736</v>
      </c>
      <c r="I130" s="57"/>
      <c r="J130" t="s">
        <v>74</v>
      </c>
      <c r="K130" t="s">
        <v>74</v>
      </c>
      <c r="L130" s="7" t="s">
        <v>400</v>
      </c>
      <c r="M130" s="10"/>
      <c r="Z130" s="7" t="s">
        <v>321</v>
      </c>
      <c r="AA130" t="s">
        <v>833</v>
      </c>
    </row>
    <row r="131" spans="1:27">
      <c r="A131" t="s">
        <v>402</v>
      </c>
      <c r="B131" t="s">
        <v>403</v>
      </c>
      <c r="C131" t="s">
        <v>403</v>
      </c>
      <c r="D131" t="s">
        <v>321</v>
      </c>
      <c r="E131">
        <v>0</v>
      </c>
      <c r="F131" t="s">
        <v>38</v>
      </c>
      <c r="G131" s="57">
        <v>43736</v>
      </c>
      <c r="I131" s="57"/>
      <c r="J131" t="s">
        <v>74</v>
      </c>
      <c r="K131" t="s">
        <v>74</v>
      </c>
      <c r="L131" s="7" t="s">
        <v>402</v>
      </c>
      <c r="M131" s="10"/>
      <c r="Z131" s="7" t="s">
        <v>321</v>
      </c>
      <c r="AA131" t="s">
        <v>1041</v>
      </c>
    </row>
    <row r="132" spans="1:27">
      <c r="A132" t="s">
        <v>404</v>
      </c>
      <c r="B132" t="s">
        <v>405</v>
      </c>
      <c r="C132" t="s">
        <v>405</v>
      </c>
      <c r="D132" t="s">
        <v>321</v>
      </c>
      <c r="E132">
        <v>0</v>
      </c>
      <c r="F132" t="s">
        <v>38</v>
      </c>
      <c r="G132" s="57">
        <v>43736</v>
      </c>
      <c r="I132" s="57"/>
      <c r="J132" t="s">
        <v>74</v>
      </c>
      <c r="K132" t="s">
        <v>74</v>
      </c>
      <c r="L132" s="7" t="s">
        <v>404</v>
      </c>
      <c r="M132" s="10"/>
      <c r="Z132" s="7" t="s">
        <v>321</v>
      </c>
      <c r="AA132" t="s">
        <v>1044</v>
      </c>
    </row>
    <row r="133" spans="1:27">
      <c r="A133" t="s">
        <v>406</v>
      </c>
      <c r="B133" t="s">
        <v>407</v>
      </c>
      <c r="C133" t="s">
        <v>407</v>
      </c>
      <c r="D133" t="s">
        <v>321</v>
      </c>
      <c r="E133">
        <v>0</v>
      </c>
      <c r="F133" t="s">
        <v>38</v>
      </c>
      <c r="G133" s="57">
        <v>43736</v>
      </c>
      <c r="I133" s="57"/>
      <c r="J133" t="s">
        <v>74</v>
      </c>
      <c r="K133" t="s">
        <v>74</v>
      </c>
      <c r="L133" s="7" t="s">
        <v>406</v>
      </c>
      <c r="M133" s="10"/>
      <c r="Z133" s="7" t="s">
        <v>242</v>
      </c>
      <c r="AA133" t="s">
        <v>1045</v>
      </c>
    </row>
    <row r="134" spans="1:27">
      <c r="A134" t="s">
        <v>408</v>
      </c>
      <c r="B134" t="s">
        <v>409</v>
      </c>
      <c r="C134" t="s">
        <v>409</v>
      </c>
      <c r="D134" t="s">
        <v>321</v>
      </c>
      <c r="E134">
        <v>0</v>
      </c>
      <c r="F134" t="s">
        <v>38</v>
      </c>
      <c r="G134" s="57">
        <v>43736</v>
      </c>
      <c r="I134" s="57"/>
      <c r="J134" t="s">
        <v>74</v>
      </c>
      <c r="K134" t="s">
        <v>74</v>
      </c>
      <c r="L134" s="7" t="s">
        <v>408</v>
      </c>
      <c r="M134" s="10"/>
      <c r="Z134" s="7" t="s">
        <v>321</v>
      </c>
      <c r="AA134" t="s">
        <v>834</v>
      </c>
    </row>
    <row r="135" spans="1:27">
      <c r="A135" t="s">
        <v>410</v>
      </c>
      <c r="B135" t="s">
        <v>411</v>
      </c>
      <c r="C135" t="s">
        <v>411</v>
      </c>
      <c r="D135" t="s">
        <v>321</v>
      </c>
      <c r="E135">
        <v>0</v>
      </c>
      <c r="F135" t="s">
        <v>38</v>
      </c>
      <c r="G135" s="57">
        <v>43736</v>
      </c>
      <c r="I135" s="57"/>
      <c r="J135" t="s">
        <v>74</v>
      </c>
      <c r="K135" t="s">
        <v>74</v>
      </c>
      <c r="L135" s="7" t="s">
        <v>410</v>
      </c>
      <c r="M135" s="10"/>
      <c r="Z135" s="7" t="s">
        <v>242</v>
      </c>
      <c r="AA135" t="s">
        <v>804</v>
      </c>
    </row>
    <row r="136" spans="1:27">
      <c r="A136" t="s">
        <v>412</v>
      </c>
      <c r="B136" t="s">
        <v>413</v>
      </c>
      <c r="C136" t="s">
        <v>413</v>
      </c>
      <c r="D136" t="s">
        <v>321</v>
      </c>
      <c r="E136">
        <v>0</v>
      </c>
      <c r="F136" t="s">
        <v>38</v>
      </c>
      <c r="G136" s="57">
        <v>43736</v>
      </c>
      <c r="I136" s="57"/>
      <c r="J136" t="s">
        <v>74</v>
      </c>
      <c r="K136" t="s">
        <v>74</v>
      </c>
      <c r="L136" s="7" t="s">
        <v>412</v>
      </c>
      <c r="M136" s="10"/>
      <c r="Z136" s="7" t="s">
        <v>321</v>
      </c>
      <c r="AA136" t="s">
        <v>804</v>
      </c>
    </row>
    <row r="137" spans="1:27">
      <c r="A137" t="s">
        <v>71</v>
      </c>
      <c r="B137" t="s">
        <v>414</v>
      </c>
      <c r="C137" t="s">
        <v>414</v>
      </c>
      <c r="D137" t="s">
        <v>415</v>
      </c>
      <c r="E137">
        <v>0</v>
      </c>
      <c r="F137" t="s">
        <v>38</v>
      </c>
      <c r="G137" s="57">
        <v>43736</v>
      </c>
      <c r="I137" s="57"/>
      <c r="J137" t="s">
        <v>74</v>
      </c>
      <c r="K137" t="s">
        <v>74</v>
      </c>
      <c r="L137" s="7" t="s">
        <v>71</v>
      </c>
      <c r="M137" s="10"/>
      <c r="Z137" s="7" t="s">
        <v>242</v>
      </c>
      <c r="AA137" t="s">
        <v>1047</v>
      </c>
    </row>
    <row r="138" spans="1:27">
      <c r="A138" t="s">
        <v>114</v>
      </c>
      <c r="B138" t="s">
        <v>416</v>
      </c>
      <c r="C138" t="s">
        <v>416</v>
      </c>
      <c r="D138" t="s">
        <v>415</v>
      </c>
      <c r="E138">
        <v>0</v>
      </c>
      <c r="F138" t="s">
        <v>38</v>
      </c>
      <c r="G138" s="57">
        <v>43736</v>
      </c>
      <c r="I138" s="57"/>
      <c r="J138" t="s">
        <v>74</v>
      </c>
      <c r="K138" t="s">
        <v>74</v>
      </c>
      <c r="L138" s="7" t="s">
        <v>114</v>
      </c>
      <c r="M138" s="10"/>
      <c r="Z138" s="7" t="s">
        <v>321</v>
      </c>
      <c r="AA138" t="s">
        <v>262</v>
      </c>
    </row>
    <row r="139" spans="1:27">
      <c r="A139" t="s">
        <v>118</v>
      </c>
      <c r="B139" t="s">
        <v>417</v>
      </c>
      <c r="C139" t="s">
        <v>417</v>
      </c>
      <c r="D139" t="s">
        <v>415</v>
      </c>
      <c r="E139">
        <v>0</v>
      </c>
      <c r="F139" t="s">
        <v>38</v>
      </c>
      <c r="G139" s="57">
        <v>43736</v>
      </c>
      <c r="I139" s="57"/>
      <c r="J139" t="s">
        <v>74</v>
      </c>
      <c r="K139" t="s">
        <v>74</v>
      </c>
      <c r="L139" s="7" t="s">
        <v>118</v>
      </c>
      <c r="M139" s="10"/>
      <c r="Z139" s="7" t="s">
        <v>242</v>
      </c>
      <c r="AA139" t="s">
        <v>1044</v>
      </c>
    </row>
    <row r="140" spans="1:27">
      <c r="A140" t="s">
        <v>418</v>
      </c>
      <c r="B140" t="s">
        <v>419</v>
      </c>
      <c r="C140" t="s">
        <v>419</v>
      </c>
      <c r="D140" t="s">
        <v>415</v>
      </c>
      <c r="E140">
        <v>0</v>
      </c>
      <c r="F140" t="s">
        <v>38</v>
      </c>
      <c r="G140" s="57">
        <v>43736</v>
      </c>
      <c r="I140" s="57"/>
      <c r="J140" t="s">
        <v>74</v>
      </c>
      <c r="K140" t="s">
        <v>74</v>
      </c>
      <c r="L140" s="7" t="s">
        <v>418</v>
      </c>
      <c r="M140" s="10"/>
      <c r="Z140" s="7" t="s">
        <v>321</v>
      </c>
      <c r="AA140" t="s">
        <v>286</v>
      </c>
    </row>
    <row r="141" spans="1:27">
      <c r="A141" t="s">
        <v>420</v>
      </c>
      <c r="B141" t="s">
        <v>421</v>
      </c>
      <c r="C141" t="s">
        <v>421</v>
      </c>
      <c r="D141" t="s">
        <v>415</v>
      </c>
      <c r="E141">
        <v>0</v>
      </c>
      <c r="F141" t="s">
        <v>38</v>
      </c>
      <c r="G141" s="57">
        <v>43736</v>
      </c>
      <c r="I141" s="57"/>
      <c r="J141" t="s">
        <v>74</v>
      </c>
      <c r="K141" t="s">
        <v>74</v>
      </c>
      <c r="L141" s="7" t="s">
        <v>420</v>
      </c>
      <c r="M141" s="10"/>
      <c r="Z141" s="7" t="s">
        <v>321</v>
      </c>
      <c r="AA141" t="s">
        <v>702</v>
      </c>
    </row>
    <row r="142" spans="1:27">
      <c r="A142" t="s">
        <v>422</v>
      </c>
      <c r="B142" t="s">
        <v>423</v>
      </c>
      <c r="C142" t="s">
        <v>423</v>
      </c>
      <c r="D142" t="s">
        <v>415</v>
      </c>
      <c r="E142">
        <v>0</v>
      </c>
      <c r="F142" t="s">
        <v>38</v>
      </c>
      <c r="G142" s="57">
        <v>43736</v>
      </c>
      <c r="I142" s="57"/>
      <c r="J142" t="s">
        <v>74</v>
      </c>
      <c r="K142" t="s">
        <v>74</v>
      </c>
      <c r="L142" s="7" t="s">
        <v>422</v>
      </c>
      <c r="M142" s="10"/>
      <c r="Z142" s="7" t="s">
        <v>321</v>
      </c>
      <c r="AA142" t="s">
        <v>1055</v>
      </c>
    </row>
    <row r="143" spans="1:27">
      <c r="A143" t="s">
        <v>424</v>
      </c>
      <c r="B143" t="s">
        <v>425</v>
      </c>
      <c r="C143" t="s">
        <v>425</v>
      </c>
      <c r="D143" t="s">
        <v>415</v>
      </c>
      <c r="E143">
        <v>0</v>
      </c>
      <c r="F143" t="s">
        <v>38</v>
      </c>
      <c r="G143" s="57">
        <v>43736</v>
      </c>
      <c r="I143" s="57"/>
      <c r="J143" t="s">
        <v>74</v>
      </c>
      <c r="K143" t="s">
        <v>74</v>
      </c>
      <c r="L143" s="7" t="s">
        <v>424</v>
      </c>
      <c r="M143" s="10"/>
      <c r="Z143" s="7" t="s">
        <v>242</v>
      </c>
      <c r="AA143" t="s">
        <v>1056</v>
      </c>
    </row>
    <row r="144" spans="1:27">
      <c r="A144" t="s">
        <v>119</v>
      </c>
      <c r="B144" t="s">
        <v>426</v>
      </c>
      <c r="C144" t="s">
        <v>426</v>
      </c>
      <c r="D144" t="s">
        <v>415</v>
      </c>
      <c r="E144">
        <v>0</v>
      </c>
      <c r="F144" t="s">
        <v>38</v>
      </c>
      <c r="G144" s="57">
        <v>43736</v>
      </c>
      <c r="I144" s="57"/>
      <c r="J144" t="s">
        <v>74</v>
      </c>
      <c r="K144" t="s">
        <v>74</v>
      </c>
      <c r="L144" s="7" t="s">
        <v>119</v>
      </c>
      <c r="M144" s="10"/>
      <c r="Z144" s="7" t="s">
        <v>321</v>
      </c>
      <c r="AA144" t="s">
        <v>1058</v>
      </c>
    </row>
    <row r="145" spans="1:27">
      <c r="A145" t="s">
        <v>427</v>
      </c>
      <c r="B145" t="s">
        <v>428</v>
      </c>
      <c r="C145" t="s">
        <v>428</v>
      </c>
      <c r="D145" t="s">
        <v>415</v>
      </c>
      <c r="E145">
        <v>0</v>
      </c>
      <c r="F145" t="s">
        <v>38</v>
      </c>
      <c r="G145" s="57">
        <v>43736</v>
      </c>
      <c r="I145" s="57"/>
      <c r="J145" t="s">
        <v>74</v>
      </c>
      <c r="K145" t="s">
        <v>74</v>
      </c>
      <c r="L145" s="7" t="s">
        <v>427</v>
      </c>
      <c r="M145" s="10"/>
      <c r="Z145" s="7" t="s">
        <v>321</v>
      </c>
      <c r="AA145" t="s">
        <v>1062</v>
      </c>
    </row>
    <row r="146" spans="1:27">
      <c r="A146" t="s">
        <v>429</v>
      </c>
      <c r="B146" t="s">
        <v>430</v>
      </c>
      <c r="C146" t="s">
        <v>430</v>
      </c>
      <c r="D146" t="s">
        <v>415</v>
      </c>
      <c r="E146">
        <v>0</v>
      </c>
      <c r="F146" t="s">
        <v>38</v>
      </c>
      <c r="G146" s="57">
        <v>43736</v>
      </c>
      <c r="I146" s="57"/>
      <c r="J146" t="s">
        <v>74</v>
      </c>
      <c r="K146" t="s">
        <v>74</v>
      </c>
      <c r="L146" s="7" t="s">
        <v>429</v>
      </c>
      <c r="M146" s="10"/>
      <c r="Z146" s="7" t="s">
        <v>321</v>
      </c>
      <c r="AA146" t="s">
        <v>1064</v>
      </c>
    </row>
    <row r="147" spans="1:27">
      <c r="A147" t="s">
        <v>431</v>
      </c>
      <c r="B147" t="s">
        <v>432</v>
      </c>
      <c r="C147" t="s">
        <v>432</v>
      </c>
      <c r="D147" t="s">
        <v>415</v>
      </c>
      <c r="E147">
        <v>0</v>
      </c>
      <c r="F147" t="s">
        <v>38</v>
      </c>
      <c r="G147" s="57">
        <v>43736</v>
      </c>
      <c r="I147" s="57"/>
      <c r="J147" t="s">
        <v>74</v>
      </c>
      <c r="K147" t="s">
        <v>74</v>
      </c>
      <c r="L147" s="7" t="s">
        <v>431</v>
      </c>
      <c r="M147" s="10"/>
      <c r="Z147" s="7" t="s">
        <v>321</v>
      </c>
      <c r="AA147" t="s">
        <v>1072</v>
      </c>
    </row>
    <row r="148" spans="1:27">
      <c r="A148" t="s">
        <v>433</v>
      </c>
      <c r="B148" t="s">
        <v>434</v>
      </c>
      <c r="C148" t="s">
        <v>434</v>
      </c>
      <c r="D148" t="s">
        <v>415</v>
      </c>
      <c r="E148">
        <v>0</v>
      </c>
      <c r="F148" t="s">
        <v>38</v>
      </c>
      <c r="G148" s="57">
        <v>43736</v>
      </c>
      <c r="I148" s="57"/>
      <c r="J148" t="s">
        <v>74</v>
      </c>
      <c r="K148" t="s">
        <v>74</v>
      </c>
      <c r="L148" s="7" t="s">
        <v>433</v>
      </c>
      <c r="M148" s="10"/>
      <c r="Z148" s="7" t="s">
        <v>242</v>
      </c>
      <c r="AA148" t="s">
        <v>1078</v>
      </c>
    </row>
    <row r="149" spans="1:27">
      <c r="A149" t="s">
        <v>435</v>
      </c>
      <c r="B149" t="s">
        <v>436</v>
      </c>
      <c r="C149" t="s">
        <v>436</v>
      </c>
      <c r="D149" t="s">
        <v>415</v>
      </c>
      <c r="E149">
        <v>0</v>
      </c>
      <c r="F149" t="s">
        <v>38</v>
      </c>
      <c r="G149" s="57">
        <v>43736</v>
      </c>
      <c r="I149" s="57"/>
      <c r="J149" t="s">
        <v>74</v>
      </c>
      <c r="K149" t="s">
        <v>74</v>
      </c>
      <c r="L149" s="7" t="s">
        <v>435</v>
      </c>
      <c r="M149" s="10"/>
      <c r="Z149" s="7" t="s">
        <v>321</v>
      </c>
      <c r="AA149" t="s">
        <v>1078</v>
      </c>
    </row>
    <row r="150" spans="1:27">
      <c r="A150" t="s">
        <v>437</v>
      </c>
      <c r="B150" t="s">
        <v>438</v>
      </c>
      <c r="C150" t="s">
        <v>438</v>
      </c>
      <c r="D150" t="s">
        <v>415</v>
      </c>
      <c r="E150">
        <v>0</v>
      </c>
      <c r="F150" t="s">
        <v>38</v>
      </c>
      <c r="G150" s="57">
        <v>43736</v>
      </c>
      <c r="I150" s="57"/>
      <c r="J150" t="s">
        <v>74</v>
      </c>
      <c r="K150" t="s">
        <v>74</v>
      </c>
      <c r="L150" s="7" t="s">
        <v>437</v>
      </c>
      <c r="M150" s="10"/>
      <c r="Z150" s="7" t="s">
        <v>321</v>
      </c>
      <c r="AA150" t="s">
        <v>1083</v>
      </c>
    </row>
    <row r="151" spans="1:27">
      <c r="A151" t="s">
        <v>439</v>
      </c>
      <c r="B151" t="s">
        <v>440</v>
      </c>
      <c r="C151" t="s">
        <v>440</v>
      </c>
      <c r="D151" t="s">
        <v>441</v>
      </c>
      <c r="E151">
        <v>144</v>
      </c>
      <c r="F151" t="s">
        <v>38</v>
      </c>
      <c r="G151" s="57">
        <v>43736</v>
      </c>
      <c r="I151" s="57"/>
      <c r="J151" t="s">
        <v>74</v>
      </c>
      <c r="K151" t="s">
        <v>74</v>
      </c>
      <c r="L151" s="7" t="s">
        <v>439</v>
      </c>
      <c r="M151" s="10"/>
      <c r="Z151" s="7" t="s">
        <v>321</v>
      </c>
      <c r="AA151" t="s">
        <v>1089</v>
      </c>
    </row>
    <row r="152" spans="1:27">
      <c r="A152" t="s">
        <v>442</v>
      </c>
      <c r="B152" t="s">
        <v>443</v>
      </c>
      <c r="C152" t="s">
        <v>443</v>
      </c>
      <c r="D152" t="s">
        <v>441</v>
      </c>
      <c r="E152">
        <v>100</v>
      </c>
      <c r="F152" t="s">
        <v>38</v>
      </c>
      <c r="G152" s="57">
        <v>43736</v>
      </c>
      <c r="I152" s="57"/>
      <c r="J152" t="s">
        <v>74</v>
      </c>
      <c r="K152" t="s">
        <v>74</v>
      </c>
      <c r="L152" s="7" t="s">
        <v>442</v>
      </c>
      <c r="M152" s="10"/>
      <c r="Z152" s="7" t="s">
        <v>242</v>
      </c>
      <c r="AA152" t="s">
        <v>1092</v>
      </c>
    </row>
    <row r="153" spans="1:27">
      <c r="A153" t="s">
        <v>444</v>
      </c>
      <c r="B153" t="s">
        <v>445</v>
      </c>
      <c r="C153" t="s">
        <v>445</v>
      </c>
      <c r="D153" t="s">
        <v>441</v>
      </c>
      <c r="E153">
        <v>150</v>
      </c>
      <c r="F153" t="s">
        <v>38</v>
      </c>
      <c r="G153" s="57">
        <v>43736</v>
      </c>
      <c r="I153" s="57"/>
      <c r="J153" t="s">
        <v>74</v>
      </c>
      <c r="K153" t="s">
        <v>74</v>
      </c>
      <c r="L153" s="7" t="s">
        <v>444</v>
      </c>
      <c r="M153" s="10"/>
      <c r="Z153" s="7" t="s">
        <v>321</v>
      </c>
      <c r="AA153" t="s">
        <v>1093</v>
      </c>
    </row>
    <row r="154" spans="1:27">
      <c r="A154" t="s">
        <v>446</v>
      </c>
      <c r="B154" t="s">
        <v>447</v>
      </c>
      <c r="C154" t="s">
        <v>447</v>
      </c>
      <c r="D154" t="s">
        <v>441</v>
      </c>
      <c r="E154">
        <v>500</v>
      </c>
      <c r="F154" t="s">
        <v>38</v>
      </c>
      <c r="G154" s="57">
        <v>43736</v>
      </c>
      <c r="H154" t="s">
        <v>38</v>
      </c>
      <c r="I154" s="57">
        <v>44016.550729166665</v>
      </c>
      <c r="J154" t="s">
        <v>73</v>
      </c>
      <c r="K154" t="s">
        <v>74</v>
      </c>
      <c r="L154" s="7" t="s">
        <v>446</v>
      </c>
      <c r="M154" s="10"/>
      <c r="Z154" s="7" t="s">
        <v>242</v>
      </c>
      <c r="AA154" t="s">
        <v>1094</v>
      </c>
    </row>
    <row r="155" spans="1:27">
      <c r="A155" t="s">
        <v>448</v>
      </c>
      <c r="B155" t="s">
        <v>449</v>
      </c>
      <c r="C155" t="s">
        <v>449</v>
      </c>
      <c r="D155" t="s">
        <v>441</v>
      </c>
      <c r="E155">
        <v>500</v>
      </c>
      <c r="F155" t="s">
        <v>38</v>
      </c>
      <c r="G155" s="57">
        <v>43736</v>
      </c>
      <c r="I155" s="57"/>
      <c r="J155" t="s">
        <v>74</v>
      </c>
      <c r="K155" t="s">
        <v>74</v>
      </c>
      <c r="L155" s="7" t="s">
        <v>448</v>
      </c>
      <c r="M155" s="10"/>
    </row>
    <row r="156" spans="1:27">
      <c r="A156" t="s">
        <v>452</v>
      </c>
      <c r="B156" t="s">
        <v>453</v>
      </c>
      <c r="C156" t="s">
        <v>453</v>
      </c>
      <c r="D156" t="s">
        <v>454</v>
      </c>
      <c r="E156">
        <v>0</v>
      </c>
      <c r="F156" t="s">
        <v>38</v>
      </c>
      <c r="G156" s="57">
        <v>43736</v>
      </c>
      <c r="H156" t="s">
        <v>38</v>
      </c>
      <c r="I156" s="57">
        <v>43872.800416666665</v>
      </c>
      <c r="J156" t="s">
        <v>73</v>
      </c>
      <c r="K156" t="s">
        <v>74</v>
      </c>
      <c r="L156" s="7" t="s">
        <v>452</v>
      </c>
      <c r="M156" s="10"/>
    </row>
    <row r="157" spans="1:27">
      <c r="A157" t="s">
        <v>455</v>
      </c>
      <c r="B157" t="s">
        <v>456</v>
      </c>
      <c r="C157" t="s">
        <v>456</v>
      </c>
      <c r="D157" t="s">
        <v>454</v>
      </c>
      <c r="E157">
        <v>0</v>
      </c>
      <c r="F157" t="s">
        <v>38</v>
      </c>
      <c r="G157" s="57">
        <v>43736</v>
      </c>
      <c r="I157" s="57"/>
      <c r="J157" t="s">
        <v>74</v>
      </c>
      <c r="K157" t="s">
        <v>74</v>
      </c>
      <c r="L157" s="7" t="s">
        <v>455</v>
      </c>
      <c r="M157" s="10"/>
    </row>
    <row r="158" spans="1:27">
      <c r="A158" t="s">
        <v>457</v>
      </c>
      <c r="B158" t="s">
        <v>458</v>
      </c>
      <c r="C158" t="s">
        <v>458</v>
      </c>
      <c r="D158" t="s">
        <v>454</v>
      </c>
      <c r="E158">
        <v>0</v>
      </c>
      <c r="F158" t="s">
        <v>38</v>
      </c>
      <c r="G158" s="57">
        <v>43736</v>
      </c>
      <c r="I158" s="57"/>
      <c r="J158" t="s">
        <v>74</v>
      </c>
      <c r="K158" t="s">
        <v>74</v>
      </c>
      <c r="L158" s="7" t="s">
        <v>457</v>
      </c>
      <c r="M158" s="10"/>
    </row>
    <row r="159" spans="1:27">
      <c r="A159" t="s">
        <v>459</v>
      </c>
      <c r="B159" t="s">
        <v>460</v>
      </c>
      <c r="C159" t="s">
        <v>460</v>
      </c>
      <c r="D159" t="s">
        <v>454</v>
      </c>
      <c r="E159">
        <v>0</v>
      </c>
      <c r="F159" t="s">
        <v>38</v>
      </c>
      <c r="G159" s="57">
        <v>43736</v>
      </c>
      <c r="I159" s="57"/>
      <c r="J159" t="s">
        <v>74</v>
      </c>
      <c r="K159" t="s">
        <v>74</v>
      </c>
      <c r="L159" s="7" t="s">
        <v>459</v>
      </c>
      <c r="M159" s="10"/>
    </row>
    <row r="160" spans="1:27">
      <c r="A160" t="s">
        <v>461</v>
      </c>
      <c r="B160" t="s">
        <v>462</v>
      </c>
      <c r="C160" t="s">
        <v>462</v>
      </c>
      <c r="D160" t="s">
        <v>454</v>
      </c>
      <c r="E160">
        <v>0</v>
      </c>
      <c r="F160" t="s">
        <v>38</v>
      </c>
      <c r="G160" s="57">
        <v>43736</v>
      </c>
      <c r="I160" s="57"/>
      <c r="J160" t="s">
        <v>74</v>
      </c>
      <c r="K160" t="s">
        <v>74</v>
      </c>
      <c r="L160" s="7" t="s">
        <v>461</v>
      </c>
      <c r="M160" s="10"/>
    </row>
    <row r="161" spans="1:13">
      <c r="A161" t="s">
        <v>463</v>
      </c>
      <c r="B161" t="s">
        <v>464</v>
      </c>
      <c r="C161" t="s">
        <v>464</v>
      </c>
      <c r="D161" t="s">
        <v>454</v>
      </c>
      <c r="E161">
        <v>0</v>
      </c>
      <c r="F161" t="s">
        <v>38</v>
      </c>
      <c r="G161" s="57">
        <v>43736</v>
      </c>
      <c r="I161" s="57"/>
      <c r="J161" t="s">
        <v>74</v>
      </c>
      <c r="K161" t="s">
        <v>74</v>
      </c>
      <c r="L161" s="7" t="s">
        <v>463</v>
      </c>
      <c r="M161" s="10"/>
    </row>
    <row r="162" spans="1:13">
      <c r="A162" t="s">
        <v>465</v>
      </c>
      <c r="B162" t="s">
        <v>466</v>
      </c>
      <c r="C162" t="s">
        <v>466</v>
      </c>
      <c r="D162" t="s">
        <v>454</v>
      </c>
      <c r="E162">
        <v>0</v>
      </c>
      <c r="F162" t="s">
        <v>38</v>
      </c>
      <c r="G162" s="57">
        <v>43736</v>
      </c>
      <c r="I162" s="57"/>
      <c r="J162" t="s">
        <v>74</v>
      </c>
      <c r="K162" t="s">
        <v>74</v>
      </c>
      <c r="L162" s="7" t="s">
        <v>465</v>
      </c>
      <c r="M162" s="10"/>
    </row>
    <row r="163" spans="1:13">
      <c r="A163" t="s">
        <v>467</v>
      </c>
      <c r="B163" t="s">
        <v>468</v>
      </c>
      <c r="C163" t="s">
        <v>468</v>
      </c>
      <c r="D163" t="s">
        <v>454</v>
      </c>
      <c r="E163">
        <v>0</v>
      </c>
      <c r="F163" t="s">
        <v>38</v>
      </c>
      <c r="G163" s="57">
        <v>43736</v>
      </c>
      <c r="I163" s="57"/>
      <c r="J163" t="s">
        <v>74</v>
      </c>
      <c r="K163" t="s">
        <v>74</v>
      </c>
      <c r="L163" s="7" t="s">
        <v>467</v>
      </c>
      <c r="M163" s="10"/>
    </row>
    <row r="164" spans="1:13">
      <c r="A164" t="s">
        <v>469</v>
      </c>
      <c r="B164" t="s">
        <v>470</v>
      </c>
      <c r="C164" t="s">
        <v>470</v>
      </c>
      <c r="D164" t="s">
        <v>454</v>
      </c>
      <c r="E164">
        <v>0</v>
      </c>
      <c r="F164" t="s">
        <v>38</v>
      </c>
      <c r="G164" s="57">
        <v>43736</v>
      </c>
      <c r="I164" s="57"/>
      <c r="J164" t="s">
        <v>74</v>
      </c>
      <c r="K164" t="s">
        <v>74</v>
      </c>
      <c r="L164" s="7" t="s">
        <v>469</v>
      </c>
      <c r="M164" s="10"/>
    </row>
    <row r="165" spans="1:13">
      <c r="A165" t="s">
        <v>471</v>
      </c>
      <c r="B165" t="s">
        <v>472</v>
      </c>
      <c r="C165" t="s">
        <v>472</v>
      </c>
      <c r="D165" t="s">
        <v>454</v>
      </c>
      <c r="E165">
        <v>0</v>
      </c>
      <c r="F165" t="s">
        <v>38</v>
      </c>
      <c r="G165" s="57">
        <v>43736</v>
      </c>
      <c r="I165" s="57"/>
      <c r="J165" t="s">
        <v>74</v>
      </c>
      <c r="K165" t="s">
        <v>74</v>
      </c>
      <c r="L165" s="7" t="s">
        <v>471</v>
      </c>
      <c r="M165" s="10"/>
    </row>
    <row r="166" spans="1:13">
      <c r="A166" t="s">
        <v>473</v>
      </c>
      <c r="B166" t="s">
        <v>474</v>
      </c>
      <c r="C166" t="s">
        <v>474</v>
      </c>
      <c r="D166" t="s">
        <v>475</v>
      </c>
      <c r="E166">
        <v>0</v>
      </c>
      <c r="F166" t="s">
        <v>38</v>
      </c>
      <c r="G166" s="57">
        <v>43736</v>
      </c>
      <c r="H166" t="s">
        <v>38</v>
      </c>
      <c r="I166" s="57">
        <v>43816.828530092593</v>
      </c>
      <c r="J166" t="s">
        <v>73</v>
      </c>
      <c r="K166" t="s">
        <v>74</v>
      </c>
      <c r="L166" s="7" t="s">
        <v>473</v>
      </c>
      <c r="M166" s="10"/>
    </row>
    <row r="167" spans="1:13">
      <c r="A167" t="s">
        <v>476</v>
      </c>
      <c r="B167" t="s">
        <v>477</v>
      </c>
      <c r="C167" t="s">
        <v>477</v>
      </c>
      <c r="D167" t="s">
        <v>475</v>
      </c>
      <c r="E167">
        <v>0</v>
      </c>
      <c r="F167" t="s">
        <v>38</v>
      </c>
      <c r="G167" s="57">
        <v>43736</v>
      </c>
      <c r="I167" s="57"/>
      <c r="J167" t="s">
        <v>74</v>
      </c>
      <c r="K167" t="s">
        <v>74</v>
      </c>
      <c r="L167" s="7" t="s">
        <v>476</v>
      </c>
      <c r="M167" s="10"/>
    </row>
    <row r="168" spans="1:13">
      <c r="A168" t="s">
        <v>478</v>
      </c>
      <c r="B168" t="s">
        <v>479</v>
      </c>
      <c r="C168" t="s">
        <v>479</v>
      </c>
      <c r="D168" t="s">
        <v>475</v>
      </c>
      <c r="E168">
        <v>0</v>
      </c>
      <c r="F168" t="s">
        <v>38</v>
      </c>
      <c r="G168" s="57">
        <v>43736</v>
      </c>
      <c r="I168" s="57"/>
      <c r="J168" t="s">
        <v>74</v>
      </c>
      <c r="K168" t="s">
        <v>74</v>
      </c>
      <c r="L168" s="7" t="s">
        <v>478</v>
      </c>
      <c r="M168" s="10"/>
    </row>
    <row r="169" spans="1:13">
      <c r="A169" t="s">
        <v>480</v>
      </c>
      <c r="B169" t="s">
        <v>481</v>
      </c>
      <c r="C169" t="s">
        <v>481</v>
      </c>
      <c r="D169" t="s">
        <v>475</v>
      </c>
      <c r="E169">
        <v>0</v>
      </c>
      <c r="F169" t="s">
        <v>38</v>
      </c>
      <c r="G169" s="57">
        <v>43736</v>
      </c>
      <c r="I169" s="57"/>
      <c r="J169" t="s">
        <v>74</v>
      </c>
      <c r="K169" t="s">
        <v>74</v>
      </c>
      <c r="L169" s="7" t="s">
        <v>480</v>
      </c>
      <c r="M169" s="10"/>
    </row>
    <row r="170" spans="1:13">
      <c r="A170" t="s">
        <v>482</v>
      </c>
      <c r="B170" t="s">
        <v>483</v>
      </c>
      <c r="C170" t="s">
        <v>483</v>
      </c>
      <c r="D170" t="s">
        <v>475</v>
      </c>
      <c r="E170">
        <v>0</v>
      </c>
      <c r="F170" t="s">
        <v>38</v>
      </c>
      <c r="G170" s="57">
        <v>43736</v>
      </c>
      <c r="I170" s="57"/>
      <c r="J170" t="s">
        <v>74</v>
      </c>
      <c r="K170" t="s">
        <v>74</v>
      </c>
      <c r="L170" s="7" t="s">
        <v>482</v>
      </c>
      <c r="M170" s="10"/>
    </row>
    <row r="171" spans="1:13">
      <c r="A171" t="s">
        <v>484</v>
      </c>
      <c r="B171" t="s">
        <v>462</v>
      </c>
      <c r="C171" t="s">
        <v>462</v>
      </c>
      <c r="D171" t="s">
        <v>475</v>
      </c>
      <c r="E171">
        <v>0</v>
      </c>
      <c r="F171" t="s">
        <v>38</v>
      </c>
      <c r="G171" s="57">
        <v>43736</v>
      </c>
      <c r="I171" s="57"/>
      <c r="J171" t="s">
        <v>74</v>
      </c>
      <c r="K171" t="s">
        <v>74</v>
      </c>
      <c r="L171" s="7" t="s">
        <v>484</v>
      </c>
      <c r="M171" s="10"/>
    </row>
    <row r="172" spans="1:13">
      <c r="A172" t="s">
        <v>485</v>
      </c>
      <c r="B172" t="s">
        <v>486</v>
      </c>
      <c r="C172" t="s">
        <v>486</v>
      </c>
      <c r="D172" t="s">
        <v>475</v>
      </c>
      <c r="E172">
        <v>0</v>
      </c>
      <c r="F172" t="s">
        <v>38</v>
      </c>
      <c r="G172" s="57">
        <v>43736</v>
      </c>
      <c r="I172" s="57"/>
      <c r="J172" t="s">
        <v>74</v>
      </c>
      <c r="K172" t="s">
        <v>74</v>
      </c>
      <c r="L172" s="7" t="s">
        <v>485</v>
      </c>
      <c r="M172" s="10"/>
    </row>
    <row r="173" spans="1:13">
      <c r="A173" t="s">
        <v>487</v>
      </c>
      <c r="B173" t="s">
        <v>488</v>
      </c>
      <c r="C173" t="s">
        <v>488</v>
      </c>
      <c r="D173" t="s">
        <v>475</v>
      </c>
      <c r="E173">
        <v>0</v>
      </c>
      <c r="F173" t="s">
        <v>38</v>
      </c>
      <c r="G173" s="57">
        <v>43736</v>
      </c>
      <c r="I173" s="57"/>
      <c r="J173" t="s">
        <v>74</v>
      </c>
      <c r="K173" t="s">
        <v>74</v>
      </c>
      <c r="L173" s="7" t="s">
        <v>487</v>
      </c>
      <c r="M173" s="10"/>
    </row>
    <row r="174" spans="1:13">
      <c r="A174" t="s">
        <v>489</v>
      </c>
      <c r="B174" t="s">
        <v>490</v>
      </c>
      <c r="C174" t="s">
        <v>490</v>
      </c>
      <c r="D174" t="s">
        <v>475</v>
      </c>
      <c r="E174">
        <v>0</v>
      </c>
      <c r="F174" t="s">
        <v>38</v>
      </c>
      <c r="G174" s="57">
        <v>43736</v>
      </c>
      <c r="I174" s="57"/>
      <c r="J174" t="s">
        <v>74</v>
      </c>
      <c r="K174" t="s">
        <v>74</v>
      </c>
      <c r="L174" s="7" t="s">
        <v>489</v>
      </c>
      <c r="M174" s="10"/>
    </row>
    <row r="175" spans="1:13">
      <c r="A175" t="s">
        <v>491</v>
      </c>
      <c r="B175" t="s">
        <v>492</v>
      </c>
      <c r="C175" t="s">
        <v>492</v>
      </c>
      <c r="D175" t="s">
        <v>493</v>
      </c>
      <c r="E175">
        <v>0</v>
      </c>
      <c r="F175" t="s">
        <v>38</v>
      </c>
      <c r="G175" s="57">
        <v>43736</v>
      </c>
      <c r="I175" s="57"/>
      <c r="J175" t="s">
        <v>74</v>
      </c>
      <c r="K175" t="s">
        <v>74</v>
      </c>
      <c r="L175" s="7" t="s">
        <v>491</v>
      </c>
      <c r="M175" s="10"/>
    </row>
    <row r="176" spans="1:13">
      <c r="A176" t="s">
        <v>494</v>
      </c>
      <c r="B176" t="s">
        <v>495</v>
      </c>
      <c r="C176" t="s">
        <v>495</v>
      </c>
      <c r="D176" t="s">
        <v>493</v>
      </c>
      <c r="E176">
        <v>0</v>
      </c>
      <c r="F176" t="s">
        <v>38</v>
      </c>
      <c r="G176" s="57">
        <v>43736</v>
      </c>
      <c r="I176" s="57"/>
      <c r="J176" t="s">
        <v>74</v>
      </c>
      <c r="K176" t="s">
        <v>74</v>
      </c>
      <c r="L176" s="7" t="s">
        <v>494</v>
      </c>
      <c r="M176" s="10"/>
    </row>
    <row r="177" spans="1:13">
      <c r="A177" t="s">
        <v>496</v>
      </c>
      <c r="B177" t="s">
        <v>497</v>
      </c>
      <c r="C177" t="s">
        <v>497</v>
      </c>
      <c r="D177" t="s">
        <v>493</v>
      </c>
      <c r="E177">
        <v>0</v>
      </c>
      <c r="F177" t="s">
        <v>38</v>
      </c>
      <c r="G177" s="57">
        <v>43736</v>
      </c>
      <c r="I177" s="57"/>
      <c r="J177" t="s">
        <v>74</v>
      </c>
      <c r="K177" t="s">
        <v>74</v>
      </c>
      <c r="L177" s="7" t="s">
        <v>496</v>
      </c>
      <c r="M177" s="10"/>
    </row>
    <row r="178" spans="1:13">
      <c r="A178" t="s">
        <v>498</v>
      </c>
      <c r="B178" t="s">
        <v>499</v>
      </c>
      <c r="C178" t="s">
        <v>499</v>
      </c>
      <c r="D178" t="s">
        <v>493</v>
      </c>
      <c r="E178">
        <v>0</v>
      </c>
      <c r="F178" t="s">
        <v>38</v>
      </c>
      <c r="G178" s="57">
        <v>43736</v>
      </c>
      <c r="I178" s="57"/>
      <c r="J178" t="s">
        <v>74</v>
      </c>
      <c r="K178" t="s">
        <v>74</v>
      </c>
      <c r="L178" s="7" t="s">
        <v>498</v>
      </c>
      <c r="M178" s="10"/>
    </row>
    <row r="179" spans="1:13">
      <c r="A179" t="s">
        <v>500</v>
      </c>
      <c r="B179" t="s">
        <v>501</v>
      </c>
      <c r="C179" t="s">
        <v>501</v>
      </c>
      <c r="D179" t="s">
        <v>493</v>
      </c>
      <c r="E179">
        <v>0</v>
      </c>
      <c r="F179" t="s">
        <v>38</v>
      </c>
      <c r="G179" s="57">
        <v>43736</v>
      </c>
      <c r="I179" s="57"/>
      <c r="J179" t="s">
        <v>74</v>
      </c>
      <c r="K179" t="s">
        <v>74</v>
      </c>
      <c r="L179" s="7" t="s">
        <v>500</v>
      </c>
      <c r="M179" s="10"/>
    </row>
    <row r="180" spans="1:13">
      <c r="A180" t="s">
        <v>502</v>
      </c>
      <c r="B180" t="s">
        <v>503</v>
      </c>
      <c r="C180" t="s">
        <v>503</v>
      </c>
      <c r="D180" t="s">
        <v>493</v>
      </c>
      <c r="E180">
        <v>0</v>
      </c>
      <c r="F180" t="s">
        <v>38</v>
      </c>
      <c r="G180" s="57">
        <v>43736</v>
      </c>
      <c r="I180" s="57"/>
      <c r="J180" t="s">
        <v>74</v>
      </c>
      <c r="K180" t="s">
        <v>74</v>
      </c>
      <c r="L180" s="7" t="s">
        <v>502</v>
      </c>
      <c r="M180" s="10"/>
    </row>
    <row r="181" spans="1:13">
      <c r="A181" t="s">
        <v>504</v>
      </c>
      <c r="B181" t="s">
        <v>505</v>
      </c>
      <c r="C181" t="s">
        <v>505</v>
      </c>
      <c r="D181" t="s">
        <v>493</v>
      </c>
      <c r="E181">
        <v>0</v>
      </c>
      <c r="F181" t="s">
        <v>38</v>
      </c>
      <c r="G181" s="57">
        <v>43736</v>
      </c>
      <c r="I181" s="57"/>
      <c r="J181" t="s">
        <v>74</v>
      </c>
      <c r="K181" t="s">
        <v>74</v>
      </c>
      <c r="L181" s="7" t="s">
        <v>504</v>
      </c>
      <c r="M181" s="10"/>
    </row>
    <row r="182" spans="1:13">
      <c r="A182" t="s">
        <v>506</v>
      </c>
      <c r="B182" t="s">
        <v>507</v>
      </c>
      <c r="C182" t="s">
        <v>507</v>
      </c>
      <c r="D182" t="s">
        <v>493</v>
      </c>
      <c r="E182">
        <v>0</v>
      </c>
      <c r="F182" t="s">
        <v>38</v>
      </c>
      <c r="G182" s="57">
        <v>43736</v>
      </c>
      <c r="I182" s="57"/>
      <c r="J182" t="s">
        <v>74</v>
      </c>
      <c r="K182" t="s">
        <v>74</v>
      </c>
      <c r="L182" s="7" t="s">
        <v>506</v>
      </c>
      <c r="M182" s="10"/>
    </row>
    <row r="183" spans="1:13">
      <c r="A183" t="s">
        <v>508</v>
      </c>
      <c r="B183" t="s">
        <v>509</v>
      </c>
      <c r="C183" t="s">
        <v>509</v>
      </c>
      <c r="D183" t="s">
        <v>493</v>
      </c>
      <c r="E183">
        <v>0</v>
      </c>
      <c r="F183" t="s">
        <v>38</v>
      </c>
      <c r="G183" s="57">
        <v>43736</v>
      </c>
      <c r="I183" s="57"/>
      <c r="J183" t="s">
        <v>74</v>
      </c>
      <c r="K183" t="s">
        <v>74</v>
      </c>
      <c r="L183" s="7" t="s">
        <v>508</v>
      </c>
      <c r="M183" s="10"/>
    </row>
    <row r="184" spans="1:13">
      <c r="A184" t="s">
        <v>510</v>
      </c>
      <c r="B184" t="s">
        <v>511</v>
      </c>
      <c r="C184" t="s">
        <v>511</v>
      </c>
      <c r="D184" t="s">
        <v>493</v>
      </c>
      <c r="E184">
        <v>0</v>
      </c>
      <c r="F184" t="s">
        <v>38</v>
      </c>
      <c r="G184" s="57">
        <v>43736</v>
      </c>
      <c r="I184" s="57"/>
      <c r="J184" t="s">
        <v>74</v>
      </c>
      <c r="K184" t="s">
        <v>74</v>
      </c>
      <c r="L184" s="7" t="s">
        <v>510</v>
      </c>
      <c r="M184" s="10"/>
    </row>
    <row r="185" spans="1:13">
      <c r="A185" t="s">
        <v>512</v>
      </c>
      <c r="B185" t="s">
        <v>513</v>
      </c>
      <c r="C185" t="s">
        <v>513</v>
      </c>
      <c r="D185" t="s">
        <v>493</v>
      </c>
      <c r="E185">
        <v>0</v>
      </c>
      <c r="F185" t="s">
        <v>38</v>
      </c>
      <c r="G185" s="57">
        <v>43736</v>
      </c>
      <c r="I185" s="57"/>
      <c r="J185" t="s">
        <v>74</v>
      </c>
      <c r="K185" t="s">
        <v>74</v>
      </c>
      <c r="L185" s="7" t="s">
        <v>512</v>
      </c>
      <c r="M185" s="10"/>
    </row>
    <row r="186" spans="1:13">
      <c r="A186" t="s">
        <v>514</v>
      </c>
      <c r="B186" t="s">
        <v>515</v>
      </c>
      <c r="C186" t="s">
        <v>515</v>
      </c>
      <c r="D186" t="s">
        <v>516</v>
      </c>
      <c r="E186">
        <v>0</v>
      </c>
      <c r="F186" t="s">
        <v>38</v>
      </c>
      <c r="G186" s="57">
        <v>43736</v>
      </c>
      <c r="I186" s="57"/>
      <c r="J186" t="s">
        <v>74</v>
      </c>
      <c r="K186" t="s">
        <v>74</v>
      </c>
      <c r="L186" s="7" t="s">
        <v>514</v>
      </c>
      <c r="M186" s="10"/>
    </row>
    <row r="187" spans="1:13">
      <c r="A187" t="s">
        <v>517</v>
      </c>
      <c r="B187" t="s">
        <v>518</v>
      </c>
      <c r="C187" t="s">
        <v>518</v>
      </c>
      <c r="D187" t="s">
        <v>516</v>
      </c>
      <c r="E187">
        <v>0</v>
      </c>
      <c r="F187" t="s">
        <v>38</v>
      </c>
      <c r="G187" s="57">
        <v>43736</v>
      </c>
      <c r="I187" s="57"/>
      <c r="J187" t="s">
        <v>74</v>
      </c>
      <c r="K187" t="s">
        <v>74</v>
      </c>
      <c r="L187" s="7" t="s">
        <v>517</v>
      </c>
      <c r="M187" s="10"/>
    </row>
    <row r="188" spans="1:13">
      <c r="A188" t="s">
        <v>519</v>
      </c>
      <c r="B188" t="s">
        <v>520</v>
      </c>
      <c r="C188" t="s">
        <v>520</v>
      </c>
      <c r="D188" t="s">
        <v>516</v>
      </c>
      <c r="E188">
        <v>0</v>
      </c>
      <c r="F188" t="s">
        <v>38</v>
      </c>
      <c r="G188" s="57">
        <v>43736</v>
      </c>
      <c r="I188" s="57"/>
      <c r="J188" t="s">
        <v>74</v>
      </c>
      <c r="K188" t="s">
        <v>74</v>
      </c>
      <c r="L188" s="7" t="s">
        <v>519</v>
      </c>
      <c r="M188" s="10"/>
    </row>
    <row r="189" spans="1:13">
      <c r="A189" t="s">
        <v>521</v>
      </c>
      <c r="B189" t="s">
        <v>522</v>
      </c>
      <c r="C189" t="s">
        <v>522</v>
      </c>
      <c r="D189" t="s">
        <v>523</v>
      </c>
      <c r="E189">
        <v>0</v>
      </c>
      <c r="F189" t="s">
        <v>38</v>
      </c>
      <c r="G189" s="57">
        <v>43736</v>
      </c>
      <c r="H189" t="s">
        <v>38</v>
      </c>
      <c r="I189" s="57">
        <v>43862.8828587963</v>
      </c>
      <c r="J189" t="s">
        <v>73</v>
      </c>
      <c r="K189" t="s">
        <v>74</v>
      </c>
      <c r="L189" s="7" t="s">
        <v>521</v>
      </c>
      <c r="M189" s="10"/>
    </row>
    <row r="190" spans="1:13">
      <c r="A190" t="s">
        <v>524</v>
      </c>
      <c r="B190" t="s">
        <v>525</v>
      </c>
      <c r="C190" t="s">
        <v>525</v>
      </c>
      <c r="D190" t="s">
        <v>523</v>
      </c>
      <c r="E190">
        <v>0</v>
      </c>
      <c r="F190" t="s">
        <v>38</v>
      </c>
      <c r="G190" s="57">
        <v>43736</v>
      </c>
      <c r="H190" t="s">
        <v>38</v>
      </c>
      <c r="I190" s="57">
        <v>43862.883912037039</v>
      </c>
      <c r="J190" t="s">
        <v>73</v>
      </c>
      <c r="K190" t="s">
        <v>74</v>
      </c>
      <c r="L190" s="7" t="s">
        <v>524</v>
      </c>
      <c r="M190" s="10"/>
    </row>
    <row r="191" spans="1:13">
      <c r="A191" t="s">
        <v>526</v>
      </c>
      <c r="B191" t="s">
        <v>527</v>
      </c>
      <c r="C191" t="s">
        <v>527</v>
      </c>
      <c r="D191" t="s">
        <v>242</v>
      </c>
      <c r="E191">
        <v>0</v>
      </c>
      <c r="F191" t="s">
        <v>38</v>
      </c>
      <c r="G191" s="57">
        <v>43736</v>
      </c>
      <c r="H191" t="s">
        <v>38</v>
      </c>
      <c r="I191" s="57">
        <v>43865.785069444442</v>
      </c>
      <c r="J191" t="s">
        <v>73</v>
      </c>
      <c r="K191" t="s">
        <v>74</v>
      </c>
      <c r="L191" s="7" t="s">
        <v>526</v>
      </c>
      <c r="M191" s="10"/>
    </row>
    <row r="192" spans="1:13">
      <c r="A192" t="s">
        <v>528</v>
      </c>
      <c r="B192" t="s">
        <v>529</v>
      </c>
      <c r="C192" t="s">
        <v>529</v>
      </c>
      <c r="D192" t="s">
        <v>454</v>
      </c>
      <c r="E192">
        <v>0</v>
      </c>
      <c r="F192" t="s">
        <v>38</v>
      </c>
      <c r="G192" s="57">
        <v>43736</v>
      </c>
      <c r="H192" t="s">
        <v>38</v>
      </c>
      <c r="I192" s="57">
        <v>44006.015682870369</v>
      </c>
      <c r="J192" t="s">
        <v>73</v>
      </c>
      <c r="K192" t="s">
        <v>74</v>
      </c>
      <c r="L192" s="7" t="s">
        <v>528</v>
      </c>
      <c r="M192" s="10"/>
    </row>
    <row r="193" spans="1:13">
      <c r="A193" t="s">
        <v>121</v>
      </c>
      <c r="B193" t="s">
        <v>530</v>
      </c>
      <c r="C193" t="s">
        <v>530</v>
      </c>
      <c r="D193" t="s">
        <v>415</v>
      </c>
      <c r="E193">
        <v>0</v>
      </c>
      <c r="F193" t="s">
        <v>38</v>
      </c>
      <c r="G193" s="57">
        <v>43736.704247685186</v>
      </c>
      <c r="I193" s="57"/>
      <c r="J193" t="s">
        <v>74</v>
      </c>
      <c r="K193" t="s">
        <v>74</v>
      </c>
      <c r="L193" s="7" t="s">
        <v>121</v>
      </c>
      <c r="M193" s="10"/>
    </row>
    <row r="194" spans="1:13">
      <c r="A194" t="s">
        <v>531</v>
      </c>
      <c r="B194" t="s">
        <v>532</v>
      </c>
      <c r="C194" t="s">
        <v>532</v>
      </c>
      <c r="D194" t="s">
        <v>321</v>
      </c>
      <c r="E194">
        <v>0</v>
      </c>
      <c r="F194" t="s">
        <v>38</v>
      </c>
      <c r="G194" s="57">
        <v>43743.831655092596</v>
      </c>
      <c r="I194" s="57"/>
      <c r="J194" t="s">
        <v>74</v>
      </c>
      <c r="K194" t="s">
        <v>74</v>
      </c>
      <c r="L194" s="7" t="s">
        <v>531</v>
      </c>
      <c r="M194" s="10"/>
    </row>
    <row r="195" spans="1:13">
      <c r="A195" t="s">
        <v>43</v>
      </c>
      <c r="B195" t="s">
        <v>533</v>
      </c>
      <c r="C195" t="s">
        <v>533</v>
      </c>
      <c r="D195" t="s">
        <v>297</v>
      </c>
      <c r="E195">
        <v>0</v>
      </c>
      <c r="F195" t="s">
        <v>38</v>
      </c>
      <c r="G195" s="57">
        <v>43743.840081018519</v>
      </c>
      <c r="I195" s="57"/>
      <c r="J195" t="s">
        <v>74</v>
      </c>
      <c r="K195" t="s">
        <v>74</v>
      </c>
      <c r="L195" s="7" t="s">
        <v>43</v>
      </c>
      <c r="M195" s="10"/>
    </row>
    <row r="196" spans="1:13">
      <c r="A196" t="s">
        <v>534</v>
      </c>
      <c r="B196" t="s">
        <v>535</v>
      </c>
      <c r="C196" t="s">
        <v>535</v>
      </c>
      <c r="D196" t="s">
        <v>242</v>
      </c>
      <c r="E196">
        <v>0</v>
      </c>
      <c r="F196" t="s">
        <v>38</v>
      </c>
      <c r="G196" s="57">
        <v>43750.71334490741</v>
      </c>
      <c r="I196" s="57"/>
      <c r="J196" t="s">
        <v>74</v>
      </c>
      <c r="K196" t="s">
        <v>74</v>
      </c>
      <c r="L196" s="7" t="s">
        <v>534</v>
      </c>
      <c r="M196" s="10"/>
    </row>
    <row r="197" spans="1:13">
      <c r="A197" t="s">
        <v>536</v>
      </c>
      <c r="B197" t="s">
        <v>1030</v>
      </c>
      <c r="C197" t="s">
        <v>1030</v>
      </c>
      <c r="D197" t="s">
        <v>242</v>
      </c>
      <c r="E197">
        <v>0</v>
      </c>
      <c r="F197" t="s">
        <v>38</v>
      </c>
      <c r="G197" s="57">
        <v>43750.734085648146</v>
      </c>
      <c r="H197" t="s">
        <v>38</v>
      </c>
      <c r="I197" s="57">
        <v>44017.643437500003</v>
      </c>
      <c r="J197" t="s">
        <v>73</v>
      </c>
      <c r="K197" t="s">
        <v>74</v>
      </c>
      <c r="L197" s="7" t="s">
        <v>536</v>
      </c>
      <c r="M197" s="10"/>
    </row>
    <row r="198" spans="1:13">
      <c r="A198" t="s">
        <v>538</v>
      </c>
      <c r="B198" t="s">
        <v>539</v>
      </c>
      <c r="C198" t="s">
        <v>540</v>
      </c>
      <c r="D198" t="s">
        <v>144</v>
      </c>
      <c r="E198">
        <v>0</v>
      </c>
      <c r="F198" t="s">
        <v>38</v>
      </c>
      <c r="G198" s="57">
        <v>43864.528587962966</v>
      </c>
      <c r="I198" s="57"/>
      <c r="J198" t="s">
        <v>74</v>
      </c>
      <c r="K198" t="s">
        <v>74</v>
      </c>
      <c r="L198" s="7" t="s">
        <v>538</v>
      </c>
      <c r="M198" s="10"/>
    </row>
    <row r="199" spans="1:13">
      <c r="A199" t="s">
        <v>541</v>
      </c>
      <c r="B199" t="s">
        <v>542</v>
      </c>
      <c r="C199" t="s">
        <v>543</v>
      </c>
      <c r="D199" t="s">
        <v>144</v>
      </c>
      <c r="E199">
        <v>0</v>
      </c>
      <c r="F199" t="s">
        <v>38</v>
      </c>
      <c r="G199" s="57">
        <v>43864.528923611113</v>
      </c>
      <c r="I199" s="57"/>
      <c r="J199" t="s">
        <v>74</v>
      </c>
      <c r="K199" t="s">
        <v>74</v>
      </c>
      <c r="L199" s="7" t="s">
        <v>541</v>
      </c>
      <c r="M199" s="10"/>
    </row>
    <row r="200" spans="1:13">
      <c r="A200" t="s">
        <v>544</v>
      </c>
      <c r="B200" t="s">
        <v>545</v>
      </c>
      <c r="C200" t="s">
        <v>545</v>
      </c>
      <c r="D200" t="s">
        <v>242</v>
      </c>
      <c r="E200">
        <v>0</v>
      </c>
      <c r="F200" t="s">
        <v>38</v>
      </c>
      <c r="G200" s="57">
        <v>43865.722303240742</v>
      </c>
      <c r="I200" s="57"/>
      <c r="J200" t="s">
        <v>74</v>
      </c>
      <c r="K200" t="s">
        <v>74</v>
      </c>
      <c r="L200" s="7" t="s">
        <v>544</v>
      </c>
      <c r="M200" s="10"/>
    </row>
    <row r="201" spans="1:13">
      <c r="A201" t="s">
        <v>546</v>
      </c>
      <c r="B201" t="s">
        <v>547</v>
      </c>
      <c r="C201" t="s">
        <v>547</v>
      </c>
      <c r="D201" t="s">
        <v>242</v>
      </c>
      <c r="E201">
        <v>0</v>
      </c>
      <c r="F201" t="s">
        <v>38</v>
      </c>
      <c r="G201" s="57">
        <v>43865.782592592594</v>
      </c>
      <c r="H201" t="s">
        <v>38</v>
      </c>
      <c r="I201" s="57">
        <v>43865.78297453704</v>
      </c>
      <c r="J201" t="s">
        <v>73</v>
      </c>
      <c r="K201" t="s">
        <v>74</v>
      </c>
      <c r="L201" s="7" t="s">
        <v>546</v>
      </c>
      <c r="M201" s="10"/>
    </row>
    <row r="202" spans="1:13">
      <c r="A202" t="s">
        <v>548</v>
      </c>
      <c r="B202" t="s">
        <v>549</v>
      </c>
      <c r="C202" t="s">
        <v>549</v>
      </c>
      <c r="D202" t="s">
        <v>242</v>
      </c>
      <c r="E202">
        <v>0</v>
      </c>
      <c r="F202" t="s">
        <v>38</v>
      </c>
      <c r="G202" s="57">
        <v>43865.87295138889</v>
      </c>
      <c r="H202" t="s">
        <v>38</v>
      </c>
      <c r="I202" s="57">
        <v>43865.965196759258</v>
      </c>
      <c r="J202" t="s">
        <v>73</v>
      </c>
      <c r="K202" t="s">
        <v>74</v>
      </c>
      <c r="L202" s="7" t="s">
        <v>548</v>
      </c>
      <c r="M202" s="10"/>
    </row>
    <row r="203" spans="1:13">
      <c r="A203" t="s">
        <v>552</v>
      </c>
      <c r="B203" t="s">
        <v>553</v>
      </c>
      <c r="C203" t="s">
        <v>554</v>
      </c>
      <c r="D203" t="s">
        <v>144</v>
      </c>
      <c r="E203">
        <v>0</v>
      </c>
      <c r="F203" t="s">
        <v>38</v>
      </c>
      <c r="G203" s="57">
        <v>43866.751469907409</v>
      </c>
      <c r="I203" s="57"/>
      <c r="J203" t="s">
        <v>74</v>
      </c>
      <c r="K203" t="s">
        <v>74</v>
      </c>
      <c r="L203" s="7" t="s">
        <v>552</v>
      </c>
      <c r="M203" s="10"/>
    </row>
    <row r="204" spans="1:13">
      <c r="A204" t="s">
        <v>555</v>
      </c>
      <c r="B204" t="s">
        <v>556</v>
      </c>
      <c r="C204" t="s">
        <v>556</v>
      </c>
      <c r="D204" t="s">
        <v>441</v>
      </c>
      <c r="E204">
        <v>700</v>
      </c>
      <c r="F204" t="s">
        <v>38</v>
      </c>
      <c r="G204" s="57">
        <v>43867.873368055552</v>
      </c>
      <c r="I204" s="57"/>
      <c r="J204" t="s">
        <v>74</v>
      </c>
      <c r="K204" t="s">
        <v>74</v>
      </c>
      <c r="L204" s="7" t="s">
        <v>555</v>
      </c>
      <c r="M204" s="10"/>
    </row>
    <row r="205" spans="1:13">
      <c r="A205" t="s">
        <v>557</v>
      </c>
      <c r="B205" t="s">
        <v>558</v>
      </c>
      <c r="C205" t="s">
        <v>558</v>
      </c>
      <c r="D205" t="s">
        <v>523</v>
      </c>
      <c r="E205">
        <v>0</v>
      </c>
      <c r="F205" t="s">
        <v>38</v>
      </c>
      <c r="G205" s="57">
        <v>43872.596006944441</v>
      </c>
      <c r="I205" s="57"/>
      <c r="J205" t="s">
        <v>74</v>
      </c>
      <c r="K205" t="s">
        <v>74</v>
      </c>
      <c r="L205" s="7" t="s">
        <v>557</v>
      </c>
      <c r="M205" s="10"/>
    </row>
    <row r="206" spans="1:13">
      <c r="A206" t="s">
        <v>559</v>
      </c>
      <c r="B206" t="s">
        <v>560</v>
      </c>
      <c r="C206" t="s">
        <v>560</v>
      </c>
      <c r="D206" t="s">
        <v>242</v>
      </c>
      <c r="E206">
        <v>0</v>
      </c>
      <c r="F206" t="s">
        <v>38</v>
      </c>
      <c r="G206" s="57">
        <v>43872.857418981483</v>
      </c>
      <c r="I206" s="57"/>
      <c r="J206" t="s">
        <v>74</v>
      </c>
      <c r="K206" t="s">
        <v>74</v>
      </c>
      <c r="L206" s="7" t="s">
        <v>559</v>
      </c>
      <c r="M206" s="10"/>
    </row>
    <row r="207" spans="1:13">
      <c r="A207" t="s">
        <v>561</v>
      </c>
      <c r="B207" t="s">
        <v>562</v>
      </c>
      <c r="C207" t="s">
        <v>562</v>
      </c>
      <c r="D207" t="s">
        <v>321</v>
      </c>
      <c r="E207">
        <v>0</v>
      </c>
      <c r="F207" t="s">
        <v>38</v>
      </c>
      <c r="G207" s="57">
        <v>43872.881550925929</v>
      </c>
      <c r="H207" t="s">
        <v>38</v>
      </c>
      <c r="I207" s="57">
        <v>43872.881967592592</v>
      </c>
      <c r="J207" t="s">
        <v>73</v>
      </c>
      <c r="K207" t="s">
        <v>74</v>
      </c>
      <c r="L207" s="7" t="s">
        <v>561</v>
      </c>
      <c r="M207" s="10"/>
    </row>
    <row r="208" spans="1:13">
      <c r="A208" t="s">
        <v>563</v>
      </c>
      <c r="B208" t="s">
        <v>564</v>
      </c>
      <c r="C208" t="s">
        <v>564</v>
      </c>
      <c r="D208" t="s">
        <v>242</v>
      </c>
      <c r="E208">
        <v>0</v>
      </c>
      <c r="F208" t="s">
        <v>80</v>
      </c>
      <c r="G208" s="57">
        <v>43873.494340277779</v>
      </c>
      <c r="I208" s="57"/>
      <c r="J208" t="s">
        <v>74</v>
      </c>
      <c r="K208" t="s">
        <v>74</v>
      </c>
      <c r="L208" s="7" t="s">
        <v>563</v>
      </c>
      <c r="M208" s="10"/>
    </row>
    <row r="209" spans="1:13">
      <c r="A209" t="s">
        <v>565</v>
      </c>
      <c r="B209" t="s">
        <v>828</v>
      </c>
      <c r="C209" t="s">
        <v>828</v>
      </c>
      <c r="D209" t="s">
        <v>321</v>
      </c>
      <c r="E209">
        <v>0</v>
      </c>
      <c r="F209" t="s">
        <v>80</v>
      </c>
      <c r="G209" s="57">
        <v>43873.527384259258</v>
      </c>
      <c r="H209" t="s">
        <v>38</v>
      </c>
      <c r="I209" s="57">
        <v>44013.847141203703</v>
      </c>
      <c r="J209" t="s">
        <v>73</v>
      </c>
      <c r="K209" t="s">
        <v>74</v>
      </c>
      <c r="L209" s="7" t="s">
        <v>565</v>
      </c>
      <c r="M209" s="10"/>
    </row>
    <row r="210" spans="1:13">
      <c r="A210" t="s">
        <v>566</v>
      </c>
      <c r="B210" t="s">
        <v>567</v>
      </c>
      <c r="C210" t="s">
        <v>122</v>
      </c>
      <c r="D210" t="s">
        <v>144</v>
      </c>
      <c r="E210">
        <v>0</v>
      </c>
      <c r="F210" t="s">
        <v>38</v>
      </c>
      <c r="G210" s="57">
        <v>43873.542488425926</v>
      </c>
      <c r="I210" s="57"/>
      <c r="J210" t="s">
        <v>74</v>
      </c>
      <c r="K210" t="s">
        <v>74</v>
      </c>
      <c r="L210" s="7" t="s">
        <v>566</v>
      </c>
      <c r="M210" s="10"/>
    </row>
    <row r="211" spans="1:13">
      <c r="A211" t="s">
        <v>568</v>
      </c>
      <c r="B211" t="s">
        <v>1031</v>
      </c>
      <c r="C211" t="s">
        <v>1031</v>
      </c>
      <c r="D211" t="s">
        <v>321</v>
      </c>
      <c r="E211">
        <v>0</v>
      </c>
      <c r="F211" t="s">
        <v>38</v>
      </c>
      <c r="G211" s="57">
        <v>43874.794976851852</v>
      </c>
      <c r="H211" t="s">
        <v>38</v>
      </c>
      <c r="I211" s="57">
        <v>43874.795208333337</v>
      </c>
      <c r="J211" t="s">
        <v>73</v>
      </c>
      <c r="K211" t="s">
        <v>74</v>
      </c>
      <c r="L211" s="7" t="s">
        <v>568</v>
      </c>
      <c r="M211" s="10"/>
    </row>
    <row r="212" spans="1:13">
      <c r="A212" t="s">
        <v>569</v>
      </c>
      <c r="B212" t="s">
        <v>570</v>
      </c>
      <c r="C212" t="s">
        <v>570</v>
      </c>
      <c r="D212" t="s">
        <v>321</v>
      </c>
      <c r="E212">
        <v>0</v>
      </c>
      <c r="F212" t="s">
        <v>76</v>
      </c>
      <c r="G212" s="57">
        <v>43874.852627314816</v>
      </c>
      <c r="I212" s="57"/>
      <c r="J212" t="s">
        <v>74</v>
      </c>
      <c r="K212" t="s">
        <v>74</v>
      </c>
      <c r="L212" s="7" t="s">
        <v>569</v>
      </c>
      <c r="M212" s="10"/>
    </row>
    <row r="213" spans="1:13">
      <c r="A213" t="s">
        <v>571</v>
      </c>
      <c r="B213" t="s">
        <v>572</v>
      </c>
      <c r="C213" t="s">
        <v>572</v>
      </c>
      <c r="D213" t="s">
        <v>475</v>
      </c>
      <c r="E213">
        <v>0</v>
      </c>
      <c r="F213" t="s">
        <v>76</v>
      </c>
      <c r="G213" s="57">
        <v>43874.855231481481</v>
      </c>
      <c r="H213" t="s">
        <v>76</v>
      </c>
      <c r="I213" s="57">
        <v>43874.855694444443</v>
      </c>
      <c r="J213" t="s">
        <v>73</v>
      </c>
      <c r="K213" t="s">
        <v>74</v>
      </c>
      <c r="L213" s="7" t="s">
        <v>571</v>
      </c>
      <c r="M213" s="10"/>
    </row>
    <row r="214" spans="1:13">
      <c r="A214" t="s">
        <v>573</v>
      </c>
      <c r="B214" t="s">
        <v>574</v>
      </c>
      <c r="C214" t="s">
        <v>574</v>
      </c>
      <c r="D214" t="s">
        <v>321</v>
      </c>
      <c r="E214">
        <v>0</v>
      </c>
      <c r="F214" t="s">
        <v>80</v>
      </c>
      <c r="G214" s="57">
        <v>43876.698645833334</v>
      </c>
      <c r="I214" s="57"/>
      <c r="J214" t="s">
        <v>74</v>
      </c>
      <c r="K214" t="s">
        <v>74</v>
      </c>
      <c r="L214" s="7" t="s">
        <v>573</v>
      </c>
      <c r="M214" s="10"/>
    </row>
    <row r="215" spans="1:13">
      <c r="A215" t="s">
        <v>639</v>
      </c>
      <c r="B215" t="s">
        <v>640</v>
      </c>
      <c r="C215" t="s">
        <v>640</v>
      </c>
      <c r="D215" t="s">
        <v>450</v>
      </c>
      <c r="E215">
        <v>0</v>
      </c>
      <c r="F215" t="s">
        <v>82</v>
      </c>
      <c r="G215" s="57">
        <v>43881.570034722223</v>
      </c>
      <c r="I215" s="57"/>
      <c r="J215" t="s">
        <v>74</v>
      </c>
      <c r="K215" t="s">
        <v>74</v>
      </c>
      <c r="L215" s="7" t="s">
        <v>639</v>
      </c>
      <c r="M215" s="10"/>
    </row>
    <row r="216" spans="1:13">
      <c r="A216" t="s">
        <v>641</v>
      </c>
      <c r="B216" t="s">
        <v>642</v>
      </c>
      <c r="C216" t="s">
        <v>642</v>
      </c>
      <c r="D216" t="s">
        <v>242</v>
      </c>
      <c r="E216">
        <v>0</v>
      </c>
      <c r="F216" t="s">
        <v>80</v>
      </c>
      <c r="G216" s="57">
        <v>43883.740289351852</v>
      </c>
      <c r="I216" s="57"/>
      <c r="J216" t="s">
        <v>74</v>
      </c>
      <c r="K216" t="s">
        <v>74</v>
      </c>
      <c r="L216" s="7" t="s">
        <v>641</v>
      </c>
      <c r="M216" s="10"/>
    </row>
    <row r="217" spans="1:13">
      <c r="A217" t="s">
        <v>647</v>
      </c>
      <c r="B217" t="s">
        <v>250</v>
      </c>
      <c r="C217" t="s">
        <v>250</v>
      </c>
      <c r="D217" t="s">
        <v>321</v>
      </c>
      <c r="E217">
        <v>0</v>
      </c>
      <c r="F217" t="s">
        <v>38</v>
      </c>
      <c r="G217" s="57">
        <v>43885.868043981478</v>
      </c>
      <c r="I217" s="57"/>
      <c r="J217" t="s">
        <v>74</v>
      </c>
      <c r="K217" t="s">
        <v>74</v>
      </c>
      <c r="L217" s="7" t="s">
        <v>647</v>
      </c>
      <c r="M217" s="10"/>
    </row>
    <row r="218" spans="1:13">
      <c r="A218" t="s">
        <v>648</v>
      </c>
      <c r="B218" t="s">
        <v>649</v>
      </c>
      <c r="C218" t="s">
        <v>649</v>
      </c>
      <c r="D218" t="s">
        <v>242</v>
      </c>
      <c r="E218">
        <v>0</v>
      </c>
      <c r="F218" t="s">
        <v>38</v>
      </c>
      <c r="G218" s="57">
        <v>43886.75267361111</v>
      </c>
      <c r="I218" s="57"/>
      <c r="J218" t="s">
        <v>74</v>
      </c>
      <c r="K218" t="s">
        <v>74</v>
      </c>
      <c r="L218" s="7" t="s">
        <v>648</v>
      </c>
      <c r="M218" s="10"/>
    </row>
    <row r="219" spans="1:13">
      <c r="A219" t="s">
        <v>650</v>
      </c>
      <c r="B219" t="s">
        <v>651</v>
      </c>
      <c r="C219" t="s">
        <v>651</v>
      </c>
      <c r="D219" t="s">
        <v>242</v>
      </c>
      <c r="E219">
        <v>0</v>
      </c>
      <c r="F219" t="s">
        <v>80</v>
      </c>
      <c r="G219" s="57">
        <v>43886.899386574078</v>
      </c>
      <c r="I219" s="57"/>
      <c r="J219" t="s">
        <v>74</v>
      </c>
      <c r="K219" t="s">
        <v>74</v>
      </c>
      <c r="L219" s="7" t="s">
        <v>650</v>
      </c>
      <c r="M219" s="10"/>
    </row>
    <row r="220" spans="1:13">
      <c r="A220" t="s">
        <v>652</v>
      </c>
      <c r="B220" t="s">
        <v>653</v>
      </c>
      <c r="C220" t="s">
        <v>653</v>
      </c>
      <c r="D220" t="s">
        <v>242</v>
      </c>
      <c r="E220">
        <v>0</v>
      </c>
      <c r="F220" t="s">
        <v>80</v>
      </c>
      <c r="G220" s="57">
        <v>43886.950648148151</v>
      </c>
      <c r="I220" s="57"/>
      <c r="J220" t="s">
        <v>74</v>
      </c>
      <c r="K220" t="s">
        <v>74</v>
      </c>
      <c r="L220" s="7" t="s">
        <v>652</v>
      </c>
      <c r="M220" s="10"/>
    </row>
    <row r="221" spans="1:13">
      <c r="A221" t="s">
        <v>49</v>
      </c>
      <c r="B221" t="s">
        <v>1032</v>
      </c>
      <c r="C221" t="s">
        <v>1032</v>
      </c>
      <c r="D221" t="s">
        <v>297</v>
      </c>
      <c r="E221">
        <v>0</v>
      </c>
      <c r="F221" t="s">
        <v>76</v>
      </c>
      <c r="G221" s="57">
        <v>43888.553078703706</v>
      </c>
      <c r="I221" s="57"/>
      <c r="J221" t="s">
        <v>74</v>
      </c>
      <c r="K221" t="s">
        <v>74</v>
      </c>
      <c r="L221" s="7" t="s">
        <v>49</v>
      </c>
      <c r="M221" s="10"/>
    </row>
    <row r="222" spans="1:13">
      <c r="A222" t="s">
        <v>654</v>
      </c>
      <c r="B222" t="s">
        <v>655</v>
      </c>
      <c r="C222" t="s">
        <v>655</v>
      </c>
      <c r="D222" t="s">
        <v>297</v>
      </c>
      <c r="E222">
        <v>0</v>
      </c>
      <c r="F222" t="s">
        <v>76</v>
      </c>
      <c r="G222" s="57">
        <v>43888.565300925926</v>
      </c>
      <c r="I222" s="57"/>
      <c r="J222" t="s">
        <v>74</v>
      </c>
      <c r="K222" t="s">
        <v>74</v>
      </c>
      <c r="L222" s="7" t="s">
        <v>654</v>
      </c>
      <c r="M222" s="10"/>
    </row>
    <row r="223" spans="1:13">
      <c r="A223" t="s">
        <v>656</v>
      </c>
      <c r="B223" t="s">
        <v>1033</v>
      </c>
      <c r="C223" t="s">
        <v>1033</v>
      </c>
      <c r="D223" t="s">
        <v>475</v>
      </c>
      <c r="E223">
        <v>0</v>
      </c>
      <c r="F223" t="s">
        <v>76</v>
      </c>
      <c r="G223" s="57">
        <v>43888.571296296293</v>
      </c>
      <c r="H223" t="s">
        <v>38</v>
      </c>
      <c r="I223" s="57">
        <v>44090.634988425925</v>
      </c>
      <c r="J223" t="s">
        <v>73</v>
      </c>
      <c r="K223" t="s">
        <v>74</v>
      </c>
      <c r="L223" s="7" t="s">
        <v>656</v>
      </c>
      <c r="M223" s="10"/>
    </row>
    <row r="224" spans="1:13">
      <c r="A224" t="s">
        <v>660</v>
      </c>
      <c r="B224" t="s">
        <v>661</v>
      </c>
      <c r="C224" t="s">
        <v>661</v>
      </c>
      <c r="D224" t="s">
        <v>242</v>
      </c>
      <c r="E224">
        <v>0</v>
      </c>
      <c r="F224" t="s">
        <v>80</v>
      </c>
      <c r="G224" s="57">
        <v>43888.584016203706</v>
      </c>
      <c r="I224" s="57"/>
      <c r="J224" t="s">
        <v>74</v>
      </c>
      <c r="K224" t="s">
        <v>74</v>
      </c>
      <c r="L224" s="7" t="s">
        <v>660</v>
      </c>
      <c r="M224" s="10"/>
    </row>
    <row r="225" spans="1:13">
      <c r="A225" t="s">
        <v>662</v>
      </c>
      <c r="B225" t="s">
        <v>413</v>
      </c>
      <c r="C225" t="s">
        <v>413</v>
      </c>
      <c r="D225" t="s">
        <v>242</v>
      </c>
      <c r="E225">
        <v>0</v>
      </c>
      <c r="F225" t="s">
        <v>80</v>
      </c>
      <c r="G225" s="57">
        <v>43888.605081018519</v>
      </c>
      <c r="I225" s="57"/>
      <c r="J225" t="s">
        <v>74</v>
      </c>
      <c r="K225" t="s">
        <v>74</v>
      </c>
      <c r="L225" s="7" t="s">
        <v>662</v>
      </c>
      <c r="M225" s="10"/>
    </row>
    <row r="226" spans="1:13">
      <c r="A226" t="s">
        <v>663</v>
      </c>
      <c r="B226" t="s">
        <v>830</v>
      </c>
      <c r="C226" t="s">
        <v>830</v>
      </c>
      <c r="D226" t="s">
        <v>321</v>
      </c>
      <c r="E226">
        <v>0</v>
      </c>
      <c r="F226" t="s">
        <v>80</v>
      </c>
      <c r="G226" s="57">
        <v>43888.611527777779</v>
      </c>
      <c r="H226" t="s">
        <v>38</v>
      </c>
      <c r="I226" s="57">
        <v>44013.846979166665</v>
      </c>
      <c r="J226" t="s">
        <v>73</v>
      </c>
      <c r="K226" t="s">
        <v>74</v>
      </c>
      <c r="L226" s="7" t="s">
        <v>663</v>
      </c>
      <c r="M226" s="10"/>
    </row>
    <row r="227" spans="1:13">
      <c r="A227" t="s">
        <v>664</v>
      </c>
      <c r="B227" t="s">
        <v>665</v>
      </c>
      <c r="C227" t="s">
        <v>665</v>
      </c>
      <c r="D227" t="s">
        <v>242</v>
      </c>
      <c r="E227">
        <v>0</v>
      </c>
      <c r="F227" t="s">
        <v>80</v>
      </c>
      <c r="G227" s="57">
        <v>43888.611759259256</v>
      </c>
      <c r="H227" t="s">
        <v>80</v>
      </c>
      <c r="I227" s="57">
        <v>43888.624062499999</v>
      </c>
      <c r="J227" t="s">
        <v>73</v>
      </c>
      <c r="K227" t="s">
        <v>74</v>
      </c>
      <c r="L227" s="7" t="s">
        <v>664</v>
      </c>
      <c r="M227" s="10"/>
    </row>
    <row r="228" spans="1:13">
      <c r="A228" t="s">
        <v>666</v>
      </c>
      <c r="B228" t="s">
        <v>280</v>
      </c>
      <c r="C228" t="s">
        <v>280</v>
      </c>
      <c r="D228" t="s">
        <v>321</v>
      </c>
      <c r="E228">
        <v>0</v>
      </c>
      <c r="F228" t="s">
        <v>80</v>
      </c>
      <c r="G228" s="57">
        <v>43888.629386574074</v>
      </c>
      <c r="I228" s="57"/>
      <c r="J228" t="s">
        <v>74</v>
      </c>
      <c r="K228" t="s">
        <v>74</v>
      </c>
      <c r="L228" s="7" t="s">
        <v>666</v>
      </c>
      <c r="M228" s="10"/>
    </row>
    <row r="229" spans="1:13">
      <c r="A229" t="s">
        <v>667</v>
      </c>
      <c r="B229" t="s">
        <v>668</v>
      </c>
      <c r="C229" t="s">
        <v>668</v>
      </c>
      <c r="D229" t="s">
        <v>242</v>
      </c>
      <c r="E229">
        <v>0</v>
      </c>
      <c r="F229" t="s">
        <v>80</v>
      </c>
      <c r="G229" s="57">
        <v>43888.641203703701</v>
      </c>
      <c r="I229" s="57"/>
      <c r="J229" t="s">
        <v>74</v>
      </c>
      <c r="K229" t="s">
        <v>74</v>
      </c>
      <c r="L229" s="7" t="s">
        <v>667</v>
      </c>
      <c r="M229" s="10"/>
    </row>
    <row r="230" spans="1:13">
      <c r="A230" t="s">
        <v>669</v>
      </c>
      <c r="B230" t="s">
        <v>670</v>
      </c>
      <c r="C230" t="s">
        <v>670</v>
      </c>
      <c r="D230" t="s">
        <v>321</v>
      </c>
      <c r="E230">
        <v>0</v>
      </c>
      <c r="F230" t="s">
        <v>80</v>
      </c>
      <c r="G230" s="57">
        <v>43888.898981481485</v>
      </c>
      <c r="I230" s="57"/>
      <c r="J230" t="s">
        <v>74</v>
      </c>
      <c r="K230" t="s">
        <v>74</v>
      </c>
      <c r="L230" s="7" t="s">
        <v>669</v>
      </c>
      <c r="M230" s="10"/>
    </row>
    <row r="231" spans="1:13">
      <c r="A231" t="s">
        <v>671</v>
      </c>
      <c r="B231" t="s">
        <v>670</v>
      </c>
      <c r="C231" t="s">
        <v>670</v>
      </c>
      <c r="D231" t="s">
        <v>242</v>
      </c>
      <c r="E231">
        <v>0</v>
      </c>
      <c r="F231" t="s">
        <v>80</v>
      </c>
      <c r="G231" s="57">
        <v>43888.899571759262</v>
      </c>
      <c r="I231" s="57"/>
      <c r="J231" t="s">
        <v>74</v>
      </c>
      <c r="K231" t="s">
        <v>74</v>
      </c>
      <c r="L231" s="7" t="s">
        <v>671</v>
      </c>
      <c r="M231" s="10"/>
    </row>
    <row r="232" spans="1:13">
      <c r="A232" t="s">
        <v>672</v>
      </c>
      <c r="B232" t="s">
        <v>831</v>
      </c>
      <c r="C232" t="s">
        <v>831</v>
      </c>
      <c r="D232" t="s">
        <v>321</v>
      </c>
      <c r="E232">
        <v>0</v>
      </c>
      <c r="F232" t="s">
        <v>42</v>
      </c>
      <c r="G232" s="57">
        <v>43888.913657407407</v>
      </c>
      <c r="H232" t="s">
        <v>38</v>
      </c>
      <c r="I232" s="57">
        <v>44013.846805555557</v>
      </c>
      <c r="J232" t="s">
        <v>73</v>
      </c>
      <c r="K232" t="s">
        <v>74</v>
      </c>
      <c r="L232" s="7" t="s">
        <v>672</v>
      </c>
      <c r="M232" s="10"/>
    </row>
    <row r="233" spans="1:13">
      <c r="A233" t="s">
        <v>673</v>
      </c>
      <c r="B233" t="s">
        <v>674</v>
      </c>
      <c r="C233" t="s">
        <v>674</v>
      </c>
      <c r="D233" t="s">
        <v>523</v>
      </c>
      <c r="E233">
        <v>0</v>
      </c>
      <c r="F233" t="s">
        <v>42</v>
      </c>
      <c r="G233" s="57">
        <v>43888.916493055556</v>
      </c>
      <c r="I233" s="57"/>
      <c r="J233" t="s">
        <v>74</v>
      </c>
      <c r="K233" t="s">
        <v>74</v>
      </c>
      <c r="L233" s="7" t="s">
        <v>673</v>
      </c>
      <c r="M233" s="10"/>
    </row>
    <row r="234" spans="1:13">
      <c r="A234" t="s">
        <v>675</v>
      </c>
      <c r="B234" t="s">
        <v>832</v>
      </c>
      <c r="C234" t="s">
        <v>832</v>
      </c>
      <c r="D234" t="s">
        <v>321</v>
      </c>
      <c r="E234">
        <v>0</v>
      </c>
      <c r="F234" t="s">
        <v>80</v>
      </c>
      <c r="G234" s="57">
        <v>43889.904004629629</v>
      </c>
      <c r="H234" t="s">
        <v>38</v>
      </c>
      <c r="I234" s="57">
        <v>44013.847326388888</v>
      </c>
      <c r="J234" t="s">
        <v>73</v>
      </c>
      <c r="K234" t="s">
        <v>74</v>
      </c>
      <c r="L234" s="7" t="s">
        <v>675</v>
      </c>
      <c r="M234" s="10"/>
    </row>
    <row r="235" spans="1:13">
      <c r="A235" t="s">
        <v>676</v>
      </c>
      <c r="B235" t="s">
        <v>677</v>
      </c>
      <c r="C235" t="s">
        <v>677</v>
      </c>
      <c r="D235" t="s">
        <v>242</v>
      </c>
      <c r="E235">
        <v>0</v>
      </c>
      <c r="F235" t="s">
        <v>80</v>
      </c>
      <c r="G235" s="57">
        <v>43889.913842592592</v>
      </c>
      <c r="I235" s="57"/>
      <c r="J235" t="s">
        <v>74</v>
      </c>
      <c r="K235" t="s">
        <v>74</v>
      </c>
      <c r="L235" s="7" t="s">
        <v>676</v>
      </c>
      <c r="M235" s="10"/>
    </row>
    <row r="236" spans="1:13">
      <c r="A236" t="s">
        <v>678</v>
      </c>
      <c r="B236" t="s">
        <v>679</v>
      </c>
      <c r="C236" t="s">
        <v>679</v>
      </c>
      <c r="D236" t="s">
        <v>242</v>
      </c>
      <c r="E236">
        <v>0</v>
      </c>
      <c r="F236" t="s">
        <v>80</v>
      </c>
      <c r="G236" s="57">
        <v>43889.924884259257</v>
      </c>
      <c r="I236" s="57"/>
      <c r="J236" t="s">
        <v>74</v>
      </c>
      <c r="K236" t="s">
        <v>74</v>
      </c>
      <c r="L236" s="7" t="s">
        <v>678</v>
      </c>
      <c r="M236" s="10"/>
    </row>
    <row r="237" spans="1:13">
      <c r="A237" t="s">
        <v>680</v>
      </c>
      <c r="B237" t="s">
        <v>681</v>
      </c>
      <c r="C237" t="s">
        <v>681</v>
      </c>
      <c r="D237" t="s">
        <v>321</v>
      </c>
      <c r="E237">
        <v>0</v>
      </c>
      <c r="F237" t="s">
        <v>80</v>
      </c>
      <c r="G237" s="57">
        <v>43889.971261574072</v>
      </c>
      <c r="I237" s="57"/>
      <c r="J237" t="s">
        <v>74</v>
      </c>
      <c r="K237" t="s">
        <v>74</v>
      </c>
      <c r="L237" s="7" t="s">
        <v>680</v>
      </c>
      <c r="M237" s="10"/>
    </row>
    <row r="238" spans="1:13">
      <c r="A238" t="s">
        <v>682</v>
      </c>
      <c r="B238" t="s">
        <v>681</v>
      </c>
      <c r="C238" t="s">
        <v>681</v>
      </c>
      <c r="D238" t="s">
        <v>242</v>
      </c>
      <c r="E238">
        <v>0</v>
      </c>
      <c r="F238" t="s">
        <v>80</v>
      </c>
      <c r="G238" s="57">
        <v>43889.971701388888</v>
      </c>
      <c r="I238" s="57"/>
      <c r="J238" t="s">
        <v>74</v>
      </c>
      <c r="K238" t="s">
        <v>74</v>
      </c>
      <c r="L238" s="7" t="s">
        <v>682</v>
      </c>
      <c r="M238" s="10"/>
    </row>
    <row r="239" spans="1:13">
      <c r="A239" t="s">
        <v>685</v>
      </c>
      <c r="B239" t="s">
        <v>686</v>
      </c>
      <c r="C239" t="s">
        <v>686</v>
      </c>
      <c r="D239" t="s">
        <v>242</v>
      </c>
      <c r="E239">
        <v>0</v>
      </c>
      <c r="F239" t="s">
        <v>80</v>
      </c>
      <c r="G239" s="57">
        <v>43890.874826388892</v>
      </c>
      <c r="I239" s="57"/>
      <c r="J239" t="s">
        <v>74</v>
      </c>
      <c r="K239" t="s">
        <v>74</v>
      </c>
      <c r="L239" s="7" t="s">
        <v>685</v>
      </c>
      <c r="M239" s="10"/>
    </row>
    <row r="240" spans="1:13">
      <c r="A240" t="s">
        <v>687</v>
      </c>
      <c r="B240" t="s">
        <v>688</v>
      </c>
      <c r="C240" t="s">
        <v>688</v>
      </c>
      <c r="D240" t="s">
        <v>321</v>
      </c>
      <c r="E240">
        <v>0</v>
      </c>
      <c r="F240" t="s">
        <v>80</v>
      </c>
      <c r="G240" s="57">
        <v>43892.721076388887</v>
      </c>
      <c r="I240" s="57"/>
      <c r="J240" t="s">
        <v>74</v>
      </c>
      <c r="K240" t="s">
        <v>74</v>
      </c>
      <c r="L240" s="7" t="s">
        <v>687</v>
      </c>
      <c r="M240" s="10"/>
    </row>
    <row r="241" spans="1:13">
      <c r="A241" t="s">
        <v>689</v>
      </c>
      <c r="B241" t="s">
        <v>690</v>
      </c>
      <c r="C241" t="s">
        <v>690</v>
      </c>
      <c r="D241" t="s">
        <v>242</v>
      </c>
      <c r="E241">
        <v>0</v>
      </c>
      <c r="F241" t="s">
        <v>80</v>
      </c>
      <c r="G241" s="57">
        <v>43892.89135416667</v>
      </c>
      <c r="I241" s="57"/>
      <c r="J241" t="s">
        <v>74</v>
      </c>
      <c r="K241" t="s">
        <v>74</v>
      </c>
      <c r="L241" s="7" t="s">
        <v>689</v>
      </c>
      <c r="M241" s="10"/>
    </row>
    <row r="242" spans="1:13">
      <c r="A242" t="s">
        <v>691</v>
      </c>
      <c r="B242" t="s">
        <v>692</v>
      </c>
      <c r="C242" t="s">
        <v>692</v>
      </c>
      <c r="D242" t="s">
        <v>321</v>
      </c>
      <c r="E242">
        <v>0</v>
      </c>
      <c r="F242" t="s">
        <v>80</v>
      </c>
      <c r="G242" s="57">
        <v>43892.910671296297</v>
      </c>
      <c r="I242" s="57"/>
      <c r="J242" t="s">
        <v>74</v>
      </c>
      <c r="K242" t="s">
        <v>74</v>
      </c>
      <c r="L242" s="7" t="s">
        <v>691</v>
      </c>
      <c r="M242" s="10"/>
    </row>
    <row r="243" spans="1:13">
      <c r="A243" t="s">
        <v>693</v>
      </c>
      <c r="B243" t="s">
        <v>694</v>
      </c>
      <c r="C243" t="s">
        <v>694</v>
      </c>
      <c r="D243" t="s">
        <v>321</v>
      </c>
      <c r="E243">
        <v>0</v>
      </c>
      <c r="F243" t="s">
        <v>80</v>
      </c>
      <c r="G243" s="57">
        <v>43894.477546296293</v>
      </c>
      <c r="I243" s="57"/>
      <c r="J243" t="s">
        <v>74</v>
      </c>
      <c r="K243" t="s">
        <v>74</v>
      </c>
      <c r="L243" s="7" t="s">
        <v>693</v>
      </c>
      <c r="M243" s="10"/>
    </row>
    <row r="244" spans="1:13">
      <c r="A244" t="s">
        <v>695</v>
      </c>
      <c r="B244" t="s">
        <v>696</v>
      </c>
      <c r="C244" t="s">
        <v>696</v>
      </c>
      <c r="D244" t="s">
        <v>321</v>
      </c>
      <c r="E244">
        <v>0</v>
      </c>
      <c r="F244" t="s">
        <v>80</v>
      </c>
      <c r="G244" s="57">
        <v>43894.487268518518</v>
      </c>
      <c r="I244" s="57"/>
      <c r="J244" t="s">
        <v>74</v>
      </c>
      <c r="K244" t="s">
        <v>74</v>
      </c>
      <c r="L244" s="7" t="s">
        <v>695</v>
      </c>
      <c r="M244" s="10"/>
    </row>
    <row r="245" spans="1:13">
      <c r="A245" t="s">
        <v>697</v>
      </c>
      <c r="B245" t="s">
        <v>698</v>
      </c>
      <c r="C245" t="s">
        <v>698</v>
      </c>
      <c r="D245" t="s">
        <v>321</v>
      </c>
      <c r="E245">
        <v>0</v>
      </c>
      <c r="F245" t="s">
        <v>80</v>
      </c>
      <c r="G245" s="57">
        <v>43894.500590277778</v>
      </c>
      <c r="I245" s="57"/>
      <c r="J245" t="s">
        <v>74</v>
      </c>
      <c r="K245" t="s">
        <v>74</v>
      </c>
      <c r="L245" s="7" t="s">
        <v>697</v>
      </c>
      <c r="M245" s="10"/>
    </row>
    <row r="246" spans="1:13">
      <c r="A246" t="s">
        <v>699</v>
      </c>
      <c r="B246" t="s">
        <v>700</v>
      </c>
      <c r="C246" t="s">
        <v>700</v>
      </c>
      <c r="D246" t="s">
        <v>242</v>
      </c>
      <c r="E246">
        <v>0</v>
      </c>
      <c r="F246" t="s">
        <v>80</v>
      </c>
      <c r="G246" s="57">
        <v>43894.500972222224</v>
      </c>
      <c r="I246" s="57"/>
      <c r="J246" t="s">
        <v>74</v>
      </c>
      <c r="K246" t="s">
        <v>74</v>
      </c>
      <c r="L246" s="7" t="s">
        <v>699</v>
      </c>
      <c r="M246" s="10"/>
    </row>
    <row r="247" spans="1:13">
      <c r="A247" t="s">
        <v>701</v>
      </c>
      <c r="B247" t="s">
        <v>702</v>
      </c>
      <c r="C247" t="s">
        <v>702</v>
      </c>
      <c r="D247" t="s">
        <v>242</v>
      </c>
      <c r="E247">
        <v>0</v>
      </c>
      <c r="F247" t="s">
        <v>80</v>
      </c>
      <c r="G247" s="57">
        <v>43894.501192129632</v>
      </c>
      <c r="I247" s="57"/>
      <c r="J247" t="s">
        <v>74</v>
      </c>
      <c r="K247" t="s">
        <v>74</v>
      </c>
      <c r="L247" s="7" t="s">
        <v>701</v>
      </c>
      <c r="M247" s="10"/>
    </row>
    <row r="248" spans="1:13">
      <c r="A248" t="s">
        <v>703</v>
      </c>
      <c r="B248" t="s">
        <v>704</v>
      </c>
      <c r="C248" t="s">
        <v>704</v>
      </c>
      <c r="D248" t="s">
        <v>321</v>
      </c>
      <c r="E248">
        <v>0</v>
      </c>
      <c r="F248" t="s">
        <v>80</v>
      </c>
      <c r="G248" s="57">
        <v>43894.507094907407</v>
      </c>
      <c r="I248" s="57"/>
      <c r="J248" t="s">
        <v>74</v>
      </c>
      <c r="K248" t="s">
        <v>74</v>
      </c>
      <c r="L248" s="7" t="s">
        <v>703</v>
      </c>
      <c r="M248" s="10"/>
    </row>
    <row r="249" spans="1:13">
      <c r="A249" t="s">
        <v>705</v>
      </c>
      <c r="B249" t="s">
        <v>706</v>
      </c>
      <c r="C249" t="s">
        <v>706</v>
      </c>
      <c r="D249" t="s">
        <v>321</v>
      </c>
      <c r="E249">
        <v>0</v>
      </c>
      <c r="F249" t="s">
        <v>80</v>
      </c>
      <c r="G249" s="57">
        <v>43895.683136574073</v>
      </c>
      <c r="I249" s="57"/>
      <c r="J249" t="s">
        <v>74</v>
      </c>
      <c r="K249" t="s">
        <v>74</v>
      </c>
      <c r="L249" s="7" t="s">
        <v>705</v>
      </c>
      <c r="M249" s="10"/>
    </row>
    <row r="250" spans="1:13">
      <c r="A250" t="s">
        <v>707</v>
      </c>
      <c r="B250" t="s">
        <v>708</v>
      </c>
      <c r="C250" t="s">
        <v>708</v>
      </c>
      <c r="D250" t="s">
        <v>242</v>
      </c>
      <c r="E250">
        <v>0</v>
      </c>
      <c r="F250" t="s">
        <v>80</v>
      </c>
      <c r="G250" s="57">
        <v>43895.76766203704</v>
      </c>
      <c r="I250" s="57"/>
      <c r="J250" t="s">
        <v>74</v>
      </c>
      <c r="K250" t="s">
        <v>74</v>
      </c>
      <c r="L250" s="7" t="s">
        <v>707</v>
      </c>
      <c r="M250" s="10"/>
    </row>
    <row r="251" spans="1:13">
      <c r="A251" t="s">
        <v>709</v>
      </c>
      <c r="B251" t="s">
        <v>710</v>
      </c>
      <c r="C251" t="s">
        <v>710</v>
      </c>
      <c r="D251" t="s">
        <v>242</v>
      </c>
      <c r="E251">
        <v>0</v>
      </c>
      <c r="F251" t="s">
        <v>80</v>
      </c>
      <c r="G251" s="57">
        <v>43895.768819444442</v>
      </c>
      <c r="I251" s="57"/>
      <c r="J251" t="s">
        <v>74</v>
      </c>
      <c r="K251" t="s">
        <v>74</v>
      </c>
      <c r="L251" s="7" t="s">
        <v>709</v>
      </c>
      <c r="M251" s="10"/>
    </row>
    <row r="252" spans="1:13">
      <c r="A252" t="s">
        <v>711</v>
      </c>
      <c r="B252" t="s">
        <v>712</v>
      </c>
      <c r="C252" t="s">
        <v>712</v>
      </c>
      <c r="D252" t="s">
        <v>242</v>
      </c>
      <c r="E252">
        <v>0</v>
      </c>
      <c r="F252" t="s">
        <v>80</v>
      </c>
      <c r="G252" s="57">
        <v>43895.829155092593</v>
      </c>
      <c r="I252" s="57"/>
      <c r="J252" t="s">
        <v>74</v>
      </c>
      <c r="K252" t="s">
        <v>74</v>
      </c>
      <c r="L252" s="7" t="s">
        <v>711</v>
      </c>
      <c r="M252" s="10"/>
    </row>
    <row r="253" spans="1:13">
      <c r="A253" t="s">
        <v>713</v>
      </c>
      <c r="B253" t="s">
        <v>714</v>
      </c>
      <c r="C253" t="s">
        <v>714</v>
      </c>
      <c r="D253" t="s">
        <v>242</v>
      </c>
      <c r="E253">
        <v>0</v>
      </c>
      <c r="F253" t="s">
        <v>80</v>
      </c>
      <c r="G253" s="57">
        <v>43895.829375000001</v>
      </c>
      <c r="I253" s="57"/>
      <c r="J253" t="s">
        <v>74</v>
      </c>
      <c r="K253" t="s">
        <v>74</v>
      </c>
      <c r="L253" s="7" t="s">
        <v>713</v>
      </c>
      <c r="M253" s="10"/>
    </row>
    <row r="254" spans="1:13">
      <c r="A254" t="s">
        <v>715</v>
      </c>
      <c r="B254" t="s">
        <v>716</v>
      </c>
      <c r="C254" t="s">
        <v>716</v>
      </c>
      <c r="D254" t="s">
        <v>321</v>
      </c>
      <c r="E254">
        <v>0</v>
      </c>
      <c r="F254" t="s">
        <v>80</v>
      </c>
      <c r="G254" s="57">
        <v>43907.429120370369</v>
      </c>
      <c r="I254" s="57"/>
      <c r="J254" t="s">
        <v>74</v>
      </c>
      <c r="K254" t="s">
        <v>74</v>
      </c>
      <c r="L254" s="7" t="s">
        <v>715</v>
      </c>
      <c r="M254" s="10"/>
    </row>
    <row r="255" spans="1:13">
      <c r="A255" t="s">
        <v>795</v>
      </c>
      <c r="B255" t="s">
        <v>802</v>
      </c>
      <c r="C255" t="s">
        <v>802</v>
      </c>
      <c r="D255" t="s">
        <v>475</v>
      </c>
      <c r="E255">
        <v>0</v>
      </c>
      <c r="F255" t="s">
        <v>38</v>
      </c>
      <c r="G255" s="57">
        <v>44089.733055555553</v>
      </c>
      <c r="I255" s="57"/>
      <c r="J255" t="s">
        <v>74</v>
      </c>
      <c r="K255" t="s">
        <v>74</v>
      </c>
      <c r="L255" s="7" t="s">
        <v>795</v>
      </c>
      <c r="M255" s="10"/>
    </row>
    <row r="256" spans="1:13">
      <c r="A256" t="s">
        <v>717</v>
      </c>
      <c r="B256" t="s">
        <v>718</v>
      </c>
      <c r="C256" t="s">
        <v>718</v>
      </c>
      <c r="D256" t="s">
        <v>242</v>
      </c>
      <c r="E256">
        <v>0</v>
      </c>
      <c r="F256" t="s">
        <v>80</v>
      </c>
      <c r="G256" s="57">
        <v>43907.873807870368</v>
      </c>
      <c r="I256" s="57"/>
      <c r="J256" t="s">
        <v>74</v>
      </c>
      <c r="K256" t="s">
        <v>74</v>
      </c>
      <c r="L256" s="7" t="s">
        <v>717</v>
      </c>
      <c r="M256" s="10"/>
    </row>
    <row r="257" spans="1:13">
      <c r="A257" t="s">
        <v>719</v>
      </c>
      <c r="B257" t="s">
        <v>720</v>
      </c>
      <c r="C257" t="s">
        <v>720</v>
      </c>
      <c r="D257" t="s">
        <v>242</v>
      </c>
      <c r="E257">
        <v>0</v>
      </c>
      <c r="F257" t="s">
        <v>80</v>
      </c>
      <c r="G257" s="57">
        <v>43908.790185185186</v>
      </c>
      <c r="I257" s="57"/>
      <c r="J257" t="s">
        <v>74</v>
      </c>
      <c r="K257" t="s">
        <v>74</v>
      </c>
      <c r="L257" s="7" t="s">
        <v>719</v>
      </c>
      <c r="M257" s="10"/>
    </row>
    <row r="258" spans="1:13">
      <c r="A258" t="s">
        <v>721</v>
      </c>
      <c r="B258" t="s">
        <v>722</v>
      </c>
      <c r="C258" t="s">
        <v>722</v>
      </c>
      <c r="D258" t="s">
        <v>242</v>
      </c>
      <c r="E258">
        <v>0</v>
      </c>
      <c r="F258" t="s">
        <v>80</v>
      </c>
      <c r="G258" s="57">
        <v>43908.790393518517</v>
      </c>
      <c r="I258" s="57"/>
      <c r="J258" t="s">
        <v>74</v>
      </c>
      <c r="K258" t="s">
        <v>74</v>
      </c>
      <c r="L258" s="7" t="s">
        <v>721</v>
      </c>
      <c r="M258" s="10"/>
    </row>
    <row r="259" spans="1:13">
      <c r="A259" t="s">
        <v>723</v>
      </c>
      <c r="B259" t="s">
        <v>724</v>
      </c>
      <c r="C259" t="s">
        <v>724</v>
      </c>
      <c r="D259" t="s">
        <v>321</v>
      </c>
      <c r="E259">
        <v>0</v>
      </c>
      <c r="F259" t="s">
        <v>80</v>
      </c>
      <c r="G259" s="57">
        <v>43909.754386574074</v>
      </c>
      <c r="I259" s="57"/>
      <c r="J259" t="s">
        <v>74</v>
      </c>
      <c r="K259" t="s">
        <v>74</v>
      </c>
      <c r="L259" s="7" t="s">
        <v>723</v>
      </c>
      <c r="M259" s="10"/>
    </row>
    <row r="260" spans="1:13">
      <c r="A260" t="s">
        <v>725</v>
      </c>
      <c r="B260" t="s">
        <v>1034</v>
      </c>
      <c r="C260" t="s">
        <v>1034</v>
      </c>
      <c r="D260" t="s">
        <v>321</v>
      </c>
      <c r="E260">
        <v>0</v>
      </c>
      <c r="F260" t="s">
        <v>42</v>
      </c>
      <c r="G260" s="57">
        <v>43911.83289351852</v>
      </c>
      <c r="I260" s="57"/>
      <c r="J260" t="s">
        <v>74</v>
      </c>
      <c r="K260" t="s">
        <v>74</v>
      </c>
      <c r="L260" s="7" t="s">
        <v>725</v>
      </c>
      <c r="M260" s="10"/>
    </row>
    <row r="261" spans="1:13">
      <c r="A261" t="s">
        <v>726</v>
      </c>
      <c r="B261" t="s">
        <v>833</v>
      </c>
      <c r="C261" t="s">
        <v>833</v>
      </c>
      <c r="D261" t="s">
        <v>321</v>
      </c>
      <c r="E261">
        <v>0</v>
      </c>
      <c r="F261" t="s">
        <v>42</v>
      </c>
      <c r="G261" s="57">
        <v>43911.862372685187</v>
      </c>
      <c r="H261" t="s">
        <v>38</v>
      </c>
      <c r="I261" s="57">
        <v>44013.84652777778</v>
      </c>
      <c r="J261" t="s">
        <v>73</v>
      </c>
      <c r="K261" t="s">
        <v>74</v>
      </c>
      <c r="L261" s="7" t="s">
        <v>726</v>
      </c>
      <c r="M261" s="10"/>
    </row>
    <row r="262" spans="1:13">
      <c r="A262" t="s">
        <v>727</v>
      </c>
      <c r="B262" t="s">
        <v>1035</v>
      </c>
      <c r="C262" t="s">
        <v>1035</v>
      </c>
      <c r="D262" t="s">
        <v>475</v>
      </c>
      <c r="E262">
        <v>0</v>
      </c>
      <c r="F262" t="s">
        <v>38</v>
      </c>
      <c r="G262" s="57">
        <v>44017.201481481483</v>
      </c>
      <c r="I262" s="57"/>
      <c r="J262" t="s">
        <v>74</v>
      </c>
      <c r="K262" t="s">
        <v>74</v>
      </c>
      <c r="L262" s="7" t="s">
        <v>727</v>
      </c>
      <c r="M262" s="10"/>
    </row>
    <row r="263" spans="1:13">
      <c r="A263" t="s">
        <v>728</v>
      </c>
      <c r="B263" t="s">
        <v>1036</v>
      </c>
      <c r="C263" t="s">
        <v>1036</v>
      </c>
      <c r="D263" t="s">
        <v>475</v>
      </c>
      <c r="E263">
        <v>0</v>
      </c>
      <c r="F263" t="s">
        <v>38</v>
      </c>
      <c r="G263" s="57">
        <v>44017.201747685183</v>
      </c>
      <c r="I263" s="57"/>
      <c r="J263" t="s">
        <v>74</v>
      </c>
      <c r="K263" t="s">
        <v>74</v>
      </c>
      <c r="L263" s="7" t="s">
        <v>728</v>
      </c>
      <c r="M263" s="10"/>
    </row>
    <row r="264" spans="1:13">
      <c r="A264" t="s">
        <v>729</v>
      </c>
      <c r="B264" t="s">
        <v>1037</v>
      </c>
      <c r="C264" t="s">
        <v>1037</v>
      </c>
      <c r="D264" t="s">
        <v>475</v>
      </c>
      <c r="E264">
        <v>0</v>
      </c>
      <c r="F264" t="s">
        <v>38</v>
      </c>
      <c r="G264" s="57">
        <v>44017.202303240738</v>
      </c>
      <c r="H264" t="s">
        <v>38</v>
      </c>
      <c r="I264" s="57">
        <v>44017.228194444448</v>
      </c>
      <c r="J264" t="s">
        <v>73</v>
      </c>
      <c r="K264" t="s">
        <v>74</v>
      </c>
      <c r="L264" s="7" t="s">
        <v>729</v>
      </c>
      <c r="M264" s="10"/>
    </row>
    <row r="265" spans="1:13">
      <c r="A265" t="s">
        <v>730</v>
      </c>
      <c r="B265" t="s">
        <v>1038</v>
      </c>
      <c r="C265" t="s">
        <v>1038</v>
      </c>
      <c r="D265" t="s">
        <v>454</v>
      </c>
      <c r="E265">
        <v>0</v>
      </c>
      <c r="F265" t="s">
        <v>38</v>
      </c>
      <c r="G265" s="57">
        <v>44019.874872685185</v>
      </c>
      <c r="I265" s="57"/>
      <c r="J265" t="s">
        <v>74</v>
      </c>
      <c r="K265" t="s">
        <v>74</v>
      </c>
      <c r="L265" s="7" t="s">
        <v>730</v>
      </c>
      <c r="M265" s="10"/>
    </row>
    <row r="266" spans="1:13">
      <c r="A266" t="s">
        <v>731</v>
      </c>
      <c r="B266" t="s">
        <v>1039</v>
      </c>
      <c r="C266" t="s">
        <v>1039</v>
      </c>
      <c r="D266" t="s">
        <v>475</v>
      </c>
      <c r="E266">
        <v>0</v>
      </c>
      <c r="F266" t="s">
        <v>38</v>
      </c>
      <c r="G266" s="57">
        <v>44019.884270833332</v>
      </c>
      <c r="I266" s="57"/>
      <c r="J266" t="s">
        <v>74</v>
      </c>
      <c r="K266" t="s">
        <v>74</v>
      </c>
      <c r="L266" s="7" t="s">
        <v>731</v>
      </c>
      <c r="M266" s="10"/>
    </row>
    <row r="267" spans="1:13">
      <c r="A267" t="s">
        <v>732</v>
      </c>
      <c r="B267" t="s">
        <v>1040</v>
      </c>
      <c r="C267" t="s">
        <v>1040</v>
      </c>
      <c r="D267" t="s">
        <v>475</v>
      </c>
      <c r="E267">
        <v>0</v>
      </c>
      <c r="F267" t="s">
        <v>38</v>
      </c>
      <c r="G267" s="57">
        <v>44019.885787037034</v>
      </c>
      <c r="I267" s="57"/>
      <c r="J267" t="s">
        <v>74</v>
      </c>
      <c r="K267" t="s">
        <v>74</v>
      </c>
      <c r="L267" s="7" t="s">
        <v>732</v>
      </c>
      <c r="M267" s="10"/>
    </row>
    <row r="268" spans="1:13">
      <c r="A268" t="s">
        <v>733</v>
      </c>
      <c r="B268" t="s">
        <v>1041</v>
      </c>
      <c r="C268" t="s">
        <v>1041</v>
      </c>
      <c r="D268" t="s">
        <v>321</v>
      </c>
      <c r="E268">
        <v>0</v>
      </c>
      <c r="F268" t="s">
        <v>38</v>
      </c>
      <c r="G268" s="57">
        <v>44020.442233796297</v>
      </c>
      <c r="I268" s="57"/>
      <c r="J268" t="s">
        <v>74</v>
      </c>
      <c r="K268" t="s">
        <v>74</v>
      </c>
      <c r="L268" s="7" t="s">
        <v>733</v>
      </c>
      <c r="M268" s="10"/>
    </row>
    <row r="269" spans="1:13">
      <c r="A269" t="s">
        <v>734</v>
      </c>
      <c r="B269" t="s">
        <v>464</v>
      </c>
      <c r="C269" t="s">
        <v>464</v>
      </c>
      <c r="D269" t="s">
        <v>475</v>
      </c>
      <c r="E269">
        <v>0</v>
      </c>
      <c r="F269" t="s">
        <v>38</v>
      </c>
      <c r="G269" s="57">
        <v>44021.821944444448</v>
      </c>
      <c r="I269" s="57"/>
      <c r="J269" t="s">
        <v>74</v>
      </c>
      <c r="K269" t="s">
        <v>74</v>
      </c>
      <c r="L269" s="7" t="s">
        <v>734</v>
      </c>
      <c r="M269" s="10"/>
    </row>
    <row r="270" spans="1:13">
      <c r="A270" t="s">
        <v>735</v>
      </c>
      <c r="B270" t="s">
        <v>1042</v>
      </c>
      <c r="C270" t="s">
        <v>1042</v>
      </c>
      <c r="D270" t="s">
        <v>475</v>
      </c>
      <c r="E270">
        <v>0</v>
      </c>
      <c r="F270" t="s">
        <v>38</v>
      </c>
      <c r="G270" s="57">
        <v>44021.822280092594</v>
      </c>
      <c r="H270" t="s">
        <v>38</v>
      </c>
      <c r="I270" s="57">
        <v>44021.826990740738</v>
      </c>
      <c r="J270" t="s">
        <v>73</v>
      </c>
      <c r="K270" t="s">
        <v>74</v>
      </c>
      <c r="L270" s="7" t="s">
        <v>735</v>
      </c>
      <c r="M270" s="10"/>
    </row>
    <row r="271" spans="1:13">
      <c r="A271" t="s">
        <v>736</v>
      </c>
      <c r="B271" t="s">
        <v>1043</v>
      </c>
      <c r="C271" t="s">
        <v>1043</v>
      </c>
      <c r="D271" t="s">
        <v>475</v>
      </c>
      <c r="E271">
        <v>0</v>
      </c>
      <c r="F271" t="s">
        <v>38</v>
      </c>
      <c r="G271" s="57">
        <v>44023.412662037037</v>
      </c>
      <c r="I271" s="57"/>
      <c r="J271" t="s">
        <v>74</v>
      </c>
      <c r="K271" t="s">
        <v>74</v>
      </c>
      <c r="L271" s="7" t="s">
        <v>736</v>
      </c>
      <c r="M271" s="10"/>
    </row>
    <row r="272" spans="1:13">
      <c r="A272" t="s">
        <v>737</v>
      </c>
      <c r="B272" t="s">
        <v>1044</v>
      </c>
      <c r="C272" t="s">
        <v>1044</v>
      </c>
      <c r="D272" t="s">
        <v>321</v>
      </c>
      <c r="E272">
        <v>0</v>
      </c>
      <c r="F272" t="s">
        <v>38</v>
      </c>
      <c r="G272" s="57">
        <v>44023.442361111112</v>
      </c>
      <c r="I272" s="57"/>
      <c r="J272" t="s">
        <v>74</v>
      </c>
      <c r="K272" t="s">
        <v>74</v>
      </c>
      <c r="L272" s="7" t="s">
        <v>737</v>
      </c>
      <c r="M272" s="10"/>
    </row>
    <row r="273" spans="1:13">
      <c r="A273" t="s">
        <v>738</v>
      </c>
      <c r="B273" t="s">
        <v>1045</v>
      </c>
      <c r="C273" t="s">
        <v>1045</v>
      </c>
      <c r="D273" t="s">
        <v>242</v>
      </c>
      <c r="E273">
        <v>0</v>
      </c>
      <c r="F273" t="s">
        <v>38</v>
      </c>
      <c r="G273" s="57">
        <v>44023.452708333331</v>
      </c>
      <c r="I273" s="57"/>
      <c r="J273" t="s">
        <v>74</v>
      </c>
      <c r="K273" t="s">
        <v>74</v>
      </c>
      <c r="L273" s="7" t="s">
        <v>738</v>
      </c>
      <c r="M273" s="10"/>
    </row>
    <row r="274" spans="1:13">
      <c r="A274" t="s">
        <v>739</v>
      </c>
      <c r="B274" t="s">
        <v>834</v>
      </c>
      <c r="C274" t="s">
        <v>834</v>
      </c>
      <c r="D274" t="s">
        <v>321</v>
      </c>
      <c r="E274">
        <v>0</v>
      </c>
      <c r="F274" t="s">
        <v>38</v>
      </c>
      <c r="G274" s="57">
        <v>44023.459201388891</v>
      </c>
      <c r="I274" s="57"/>
      <c r="J274" t="s">
        <v>74</v>
      </c>
      <c r="K274" t="s">
        <v>74</v>
      </c>
      <c r="L274" s="7" t="s">
        <v>739</v>
      </c>
      <c r="M274" s="10"/>
    </row>
    <row r="275" spans="1:13">
      <c r="A275" t="s">
        <v>740</v>
      </c>
      <c r="B275" t="s">
        <v>804</v>
      </c>
      <c r="C275" t="s">
        <v>804</v>
      </c>
      <c r="D275" t="s">
        <v>242</v>
      </c>
      <c r="E275">
        <v>0</v>
      </c>
      <c r="F275" t="s">
        <v>38</v>
      </c>
      <c r="G275" s="57">
        <v>44023.466319444444</v>
      </c>
      <c r="I275" s="57"/>
      <c r="J275" t="s">
        <v>74</v>
      </c>
      <c r="K275" t="s">
        <v>74</v>
      </c>
      <c r="L275" s="7" t="s">
        <v>740</v>
      </c>
      <c r="M275" s="10"/>
    </row>
    <row r="276" spans="1:13">
      <c r="A276" t="s">
        <v>741</v>
      </c>
      <c r="B276" t="s">
        <v>804</v>
      </c>
      <c r="C276" t="s">
        <v>804</v>
      </c>
      <c r="D276" t="s">
        <v>321</v>
      </c>
      <c r="E276">
        <v>0</v>
      </c>
      <c r="F276" t="s">
        <v>38</v>
      </c>
      <c r="G276" s="57">
        <v>44023.466550925928</v>
      </c>
      <c r="I276" s="57"/>
      <c r="J276" t="s">
        <v>74</v>
      </c>
      <c r="K276" t="s">
        <v>74</v>
      </c>
      <c r="L276" s="7" t="s">
        <v>741</v>
      </c>
      <c r="M276" s="10"/>
    </row>
    <row r="277" spans="1:13">
      <c r="A277" t="s">
        <v>742</v>
      </c>
      <c r="B277" t="s">
        <v>1046</v>
      </c>
      <c r="C277" t="s">
        <v>1046</v>
      </c>
      <c r="D277" t="s">
        <v>475</v>
      </c>
      <c r="E277">
        <v>0</v>
      </c>
      <c r="F277" t="s">
        <v>38</v>
      </c>
      <c r="G277" s="57">
        <v>44024.473668981482</v>
      </c>
      <c r="I277" s="57"/>
      <c r="J277" t="s">
        <v>74</v>
      </c>
      <c r="K277" t="s">
        <v>74</v>
      </c>
      <c r="L277" s="7" t="s">
        <v>742</v>
      </c>
      <c r="M277" s="10"/>
    </row>
    <row r="278" spans="1:13">
      <c r="A278" t="s">
        <v>743</v>
      </c>
      <c r="B278" t="s">
        <v>1047</v>
      </c>
      <c r="C278" t="s">
        <v>1047</v>
      </c>
      <c r="D278" t="s">
        <v>242</v>
      </c>
      <c r="E278">
        <v>0</v>
      </c>
      <c r="F278" t="s">
        <v>38</v>
      </c>
      <c r="G278" s="57">
        <v>44024.761736111112</v>
      </c>
      <c r="I278" s="57"/>
      <c r="J278" t="s">
        <v>74</v>
      </c>
      <c r="K278" t="s">
        <v>74</v>
      </c>
      <c r="L278" s="7" t="s">
        <v>743</v>
      </c>
      <c r="M278" s="10"/>
    </row>
    <row r="279" spans="1:13">
      <c r="A279" t="s">
        <v>744</v>
      </c>
      <c r="B279" t="s">
        <v>1048</v>
      </c>
      <c r="C279" t="s">
        <v>1048</v>
      </c>
      <c r="D279" t="s">
        <v>441</v>
      </c>
      <c r="E279">
        <v>0</v>
      </c>
      <c r="F279" t="s">
        <v>38</v>
      </c>
      <c r="G279" s="57">
        <v>44025.470381944448</v>
      </c>
      <c r="H279" t="s">
        <v>38</v>
      </c>
      <c r="I279" s="57">
        <v>44025.474942129629</v>
      </c>
      <c r="J279" t="s">
        <v>73</v>
      </c>
      <c r="K279" t="s">
        <v>74</v>
      </c>
      <c r="L279" s="7" t="s">
        <v>744</v>
      </c>
      <c r="M279" s="10"/>
    </row>
    <row r="280" spans="1:13">
      <c r="A280" t="s">
        <v>796</v>
      </c>
      <c r="B280" t="s">
        <v>1049</v>
      </c>
      <c r="C280" t="s">
        <v>1049</v>
      </c>
      <c r="D280" t="s">
        <v>475</v>
      </c>
      <c r="E280">
        <v>0</v>
      </c>
      <c r="F280" t="s">
        <v>38</v>
      </c>
      <c r="G280" s="57">
        <v>44090.634108796294</v>
      </c>
      <c r="I280" s="57"/>
      <c r="J280" t="s">
        <v>74</v>
      </c>
      <c r="K280" t="s">
        <v>74</v>
      </c>
      <c r="L280" s="7" t="s">
        <v>796</v>
      </c>
      <c r="M280" s="10"/>
    </row>
    <row r="281" spans="1:13">
      <c r="A281" t="s">
        <v>797</v>
      </c>
      <c r="B281" t="s">
        <v>1050</v>
      </c>
      <c r="C281" t="s">
        <v>1050</v>
      </c>
      <c r="D281" t="s">
        <v>475</v>
      </c>
      <c r="E281">
        <v>0</v>
      </c>
      <c r="F281" t="s">
        <v>38</v>
      </c>
      <c r="G281" s="57">
        <v>44090.634513888886</v>
      </c>
      <c r="I281" s="57"/>
      <c r="J281" t="s">
        <v>74</v>
      </c>
      <c r="K281" t="s">
        <v>74</v>
      </c>
      <c r="L281" s="7" t="s">
        <v>797</v>
      </c>
      <c r="M281" s="10"/>
    </row>
    <row r="282" spans="1:13">
      <c r="A282" t="s">
        <v>745</v>
      </c>
      <c r="B282" t="s">
        <v>1051</v>
      </c>
      <c r="C282" t="s">
        <v>1051</v>
      </c>
      <c r="D282" t="s">
        <v>415</v>
      </c>
      <c r="E282">
        <v>0</v>
      </c>
      <c r="F282" t="s">
        <v>38</v>
      </c>
      <c r="G282" s="57">
        <v>44025.522187499999</v>
      </c>
      <c r="I282" s="57"/>
      <c r="J282" t="s">
        <v>74</v>
      </c>
      <c r="K282" t="s">
        <v>74</v>
      </c>
      <c r="L282" s="7" t="s">
        <v>745</v>
      </c>
      <c r="M282" s="10"/>
    </row>
    <row r="283" spans="1:13">
      <c r="A283" t="s">
        <v>746</v>
      </c>
      <c r="B283" t="s">
        <v>262</v>
      </c>
      <c r="C283" t="s">
        <v>262</v>
      </c>
      <c r="D283" t="s">
        <v>321</v>
      </c>
      <c r="E283">
        <v>0</v>
      </c>
      <c r="F283" t="s">
        <v>38</v>
      </c>
      <c r="G283" s="57">
        <v>44025.537789351853</v>
      </c>
      <c r="I283" s="57"/>
      <c r="J283" t="s">
        <v>74</v>
      </c>
      <c r="K283" t="s">
        <v>74</v>
      </c>
      <c r="L283" s="7" t="s">
        <v>746</v>
      </c>
      <c r="M283" s="10"/>
    </row>
    <row r="284" spans="1:13">
      <c r="A284" t="s">
        <v>747</v>
      </c>
      <c r="B284" t="s">
        <v>1052</v>
      </c>
      <c r="C284" t="s">
        <v>1052</v>
      </c>
      <c r="D284" t="s">
        <v>475</v>
      </c>
      <c r="E284">
        <v>0</v>
      </c>
      <c r="F284" t="s">
        <v>38</v>
      </c>
      <c r="G284" s="57">
        <v>44025.554803240739</v>
      </c>
      <c r="I284" s="57"/>
      <c r="J284" t="s">
        <v>74</v>
      </c>
      <c r="K284" t="s">
        <v>74</v>
      </c>
      <c r="L284" s="7" t="s">
        <v>747</v>
      </c>
      <c r="M284" s="10"/>
    </row>
    <row r="285" spans="1:13">
      <c r="A285" t="s">
        <v>748</v>
      </c>
      <c r="B285" t="s">
        <v>1044</v>
      </c>
      <c r="C285" t="s">
        <v>1044</v>
      </c>
      <c r="D285" t="s">
        <v>242</v>
      </c>
      <c r="E285">
        <v>0</v>
      </c>
      <c r="F285" t="s">
        <v>38</v>
      </c>
      <c r="G285" s="57">
        <v>44025.556608796294</v>
      </c>
      <c r="I285" s="57"/>
      <c r="J285" t="s">
        <v>74</v>
      </c>
      <c r="K285" t="s">
        <v>74</v>
      </c>
      <c r="L285" s="7" t="s">
        <v>748</v>
      </c>
      <c r="M285" s="10"/>
    </row>
    <row r="286" spans="1:13">
      <c r="A286" t="s">
        <v>749</v>
      </c>
      <c r="B286" t="s">
        <v>453</v>
      </c>
      <c r="C286" t="s">
        <v>453</v>
      </c>
      <c r="D286" t="s">
        <v>475</v>
      </c>
      <c r="E286">
        <v>0</v>
      </c>
      <c r="F286" t="s">
        <v>38</v>
      </c>
      <c r="G286" s="57">
        <v>44026.885833333334</v>
      </c>
      <c r="H286" t="s">
        <v>38</v>
      </c>
      <c r="I286" s="57">
        <v>44026.886087962965</v>
      </c>
      <c r="J286" t="s">
        <v>73</v>
      </c>
      <c r="K286" t="s">
        <v>74</v>
      </c>
      <c r="L286" s="7" t="s">
        <v>749</v>
      </c>
      <c r="M286" s="10"/>
    </row>
    <row r="287" spans="1:13">
      <c r="A287" t="s">
        <v>750</v>
      </c>
      <c r="B287" t="s">
        <v>1053</v>
      </c>
      <c r="C287" t="s">
        <v>1053</v>
      </c>
      <c r="D287" t="s">
        <v>475</v>
      </c>
      <c r="E287">
        <v>0</v>
      </c>
      <c r="F287" t="s">
        <v>38</v>
      </c>
      <c r="G287" s="57">
        <v>44026.886365740742</v>
      </c>
      <c r="I287" s="57"/>
      <c r="J287" t="s">
        <v>74</v>
      </c>
      <c r="K287" t="s">
        <v>74</v>
      </c>
      <c r="L287" s="7" t="s">
        <v>750</v>
      </c>
      <c r="M287" s="10"/>
    </row>
    <row r="288" spans="1:13">
      <c r="A288" t="s">
        <v>751</v>
      </c>
      <c r="B288" t="s">
        <v>286</v>
      </c>
      <c r="C288" t="s">
        <v>286</v>
      </c>
      <c r="D288" t="s">
        <v>321</v>
      </c>
      <c r="E288">
        <v>0</v>
      </c>
      <c r="F288" t="s">
        <v>38</v>
      </c>
      <c r="G288" s="57">
        <v>44027.438703703701</v>
      </c>
      <c r="I288" s="57"/>
      <c r="J288" t="s">
        <v>74</v>
      </c>
      <c r="K288" t="s">
        <v>74</v>
      </c>
      <c r="L288" s="7" t="s">
        <v>751</v>
      </c>
      <c r="M288" s="10"/>
    </row>
    <row r="289" spans="1:13">
      <c r="A289" t="s">
        <v>752</v>
      </c>
      <c r="B289" t="s">
        <v>702</v>
      </c>
      <c r="C289" t="s">
        <v>702</v>
      </c>
      <c r="D289" t="s">
        <v>321</v>
      </c>
      <c r="E289">
        <v>0</v>
      </c>
      <c r="F289" t="s">
        <v>38</v>
      </c>
      <c r="G289" s="57">
        <v>44031.641712962963</v>
      </c>
      <c r="I289" s="57"/>
      <c r="J289" t="s">
        <v>74</v>
      </c>
      <c r="K289" t="s">
        <v>74</v>
      </c>
      <c r="L289" s="7" t="s">
        <v>752</v>
      </c>
      <c r="M289" s="10"/>
    </row>
    <row r="290" spans="1:13">
      <c r="A290" t="s">
        <v>753</v>
      </c>
      <c r="B290" t="s">
        <v>1054</v>
      </c>
      <c r="C290" t="s">
        <v>1054</v>
      </c>
      <c r="D290" t="s">
        <v>475</v>
      </c>
      <c r="E290">
        <v>0</v>
      </c>
      <c r="F290" t="s">
        <v>38</v>
      </c>
      <c r="G290" s="57">
        <v>44031.752152777779</v>
      </c>
      <c r="I290" s="57"/>
      <c r="J290" t="s">
        <v>74</v>
      </c>
      <c r="K290" t="s">
        <v>74</v>
      </c>
      <c r="L290" s="7" t="s">
        <v>753</v>
      </c>
      <c r="M290" s="10"/>
    </row>
    <row r="291" spans="1:13">
      <c r="A291" t="s">
        <v>754</v>
      </c>
      <c r="B291" t="s">
        <v>1055</v>
      </c>
      <c r="C291" t="s">
        <v>1055</v>
      </c>
      <c r="D291" t="s">
        <v>321</v>
      </c>
      <c r="E291">
        <v>0</v>
      </c>
      <c r="F291" t="s">
        <v>38</v>
      </c>
      <c r="G291" s="57">
        <v>44034.352453703701</v>
      </c>
      <c r="I291" s="57"/>
      <c r="J291" t="s">
        <v>74</v>
      </c>
      <c r="K291" t="s">
        <v>74</v>
      </c>
      <c r="L291" s="7" t="s">
        <v>754</v>
      </c>
      <c r="M291" s="10"/>
    </row>
    <row r="292" spans="1:13">
      <c r="A292" t="s">
        <v>755</v>
      </c>
      <c r="B292" t="s">
        <v>1056</v>
      </c>
      <c r="C292" t="s">
        <v>1056</v>
      </c>
      <c r="D292" t="s">
        <v>242</v>
      </c>
      <c r="E292">
        <v>0</v>
      </c>
      <c r="F292" t="s">
        <v>38</v>
      </c>
      <c r="G292" s="57">
        <v>44034.643587962964</v>
      </c>
      <c r="I292" s="57"/>
      <c r="J292" t="s">
        <v>74</v>
      </c>
      <c r="K292" t="s">
        <v>74</v>
      </c>
      <c r="L292" s="7" t="s">
        <v>755</v>
      </c>
      <c r="M292" s="10"/>
    </row>
    <row r="293" spans="1:13">
      <c r="A293" t="s">
        <v>756</v>
      </c>
      <c r="B293" t="s">
        <v>1057</v>
      </c>
      <c r="C293" t="s">
        <v>1057</v>
      </c>
      <c r="D293" t="s">
        <v>297</v>
      </c>
      <c r="E293">
        <v>0</v>
      </c>
      <c r="F293" t="s">
        <v>38</v>
      </c>
      <c r="G293" s="57">
        <v>44036.226550925923</v>
      </c>
      <c r="H293" t="s">
        <v>38</v>
      </c>
      <c r="I293" s="57">
        <v>44036.264386574076</v>
      </c>
      <c r="J293" t="s">
        <v>73</v>
      </c>
      <c r="K293" t="s">
        <v>74</v>
      </c>
      <c r="L293" s="7" t="s">
        <v>756</v>
      </c>
      <c r="M293" s="10"/>
    </row>
    <row r="294" spans="1:13">
      <c r="A294" t="s">
        <v>758</v>
      </c>
      <c r="B294" t="s">
        <v>1058</v>
      </c>
      <c r="C294" t="s">
        <v>1058</v>
      </c>
      <c r="D294" t="s">
        <v>321</v>
      </c>
      <c r="E294">
        <v>0</v>
      </c>
      <c r="F294" t="s">
        <v>38</v>
      </c>
      <c r="G294" s="57">
        <v>44036.42597222222</v>
      </c>
      <c r="I294" s="57"/>
      <c r="J294" t="s">
        <v>74</v>
      </c>
      <c r="K294" t="s">
        <v>74</v>
      </c>
      <c r="L294" s="7" t="s">
        <v>758</v>
      </c>
      <c r="M294" s="10"/>
    </row>
    <row r="295" spans="1:13">
      <c r="A295" t="s">
        <v>759</v>
      </c>
      <c r="B295" t="s">
        <v>1059</v>
      </c>
      <c r="C295" t="s">
        <v>1059</v>
      </c>
      <c r="D295" t="s">
        <v>475</v>
      </c>
      <c r="E295">
        <v>0</v>
      </c>
      <c r="F295" t="s">
        <v>38</v>
      </c>
      <c r="G295" s="57">
        <v>44036.503935185188</v>
      </c>
      <c r="I295" s="57"/>
      <c r="J295" t="s">
        <v>74</v>
      </c>
      <c r="K295" t="s">
        <v>74</v>
      </c>
      <c r="L295" s="7" t="s">
        <v>759</v>
      </c>
      <c r="M295" s="10"/>
    </row>
    <row r="296" spans="1:13">
      <c r="A296" t="s">
        <v>760</v>
      </c>
      <c r="B296" t="s">
        <v>1060</v>
      </c>
      <c r="C296" t="s">
        <v>1061</v>
      </c>
      <c r="D296" t="s">
        <v>144</v>
      </c>
      <c r="E296">
        <v>0</v>
      </c>
      <c r="F296" t="s">
        <v>38</v>
      </c>
      <c r="G296" s="57">
        <v>44037.513831018521</v>
      </c>
      <c r="H296" t="s">
        <v>38</v>
      </c>
      <c r="I296" s="57">
        <v>44047.791631944441</v>
      </c>
      <c r="J296" t="s">
        <v>73</v>
      </c>
      <c r="K296" t="s">
        <v>74</v>
      </c>
      <c r="L296" s="7" t="s">
        <v>760</v>
      </c>
      <c r="M296" s="10"/>
    </row>
    <row r="297" spans="1:13">
      <c r="A297" t="s">
        <v>761</v>
      </c>
      <c r="B297" t="s">
        <v>1062</v>
      </c>
      <c r="C297" t="s">
        <v>1062</v>
      </c>
      <c r="D297" t="s">
        <v>321</v>
      </c>
      <c r="E297">
        <v>0</v>
      </c>
      <c r="F297" t="s">
        <v>38</v>
      </c>
      <c r="G297" s="57">
        <v>44039.560416666667</v>
      </c>
      <c r="I297" s="57"/>
      <c r="J297" t="s">
        <v>74</v>
      </c>
      <c r="K297" t="s">
        <v>74</v>
      </c>
      <c r="L297" s="7" t="s">
        <v>761</v>
      </c>
      <c r="M297" s="10"/>
    </row>
    <row r="298" spans="1:13">
      <c r="A298" t="s">
        <v>762</v>
      </c>
      <c r="B298" t="s">
        <v>757</v>
      </c>
      <c r="C298" t="s">
        <v>757</v>
      </c>
      <c r="D298" t="s">
        <v>475</v>
      </c>
      <c r="E298">
        <v>0</v>
      </c>
      <c r="F298" t="s">
        <v>38</v>
      </c>
      <c r="G298" s="57">
        <v>44040.441365740742</v>
      </c>
      <c r="I298" s="57"/>
      <c r="J298" t="s">
        <v>74</v>
      </c>
      <c r="K298" t="s">
        <v>74</v>
      </c>
      <c r="L298" s="7" t="s">
        <v>762</v>
      </c>
      <c r="M298" s="10"/>
    </row>
    <row r="299" spans="1:13">
      <c r="A299" t="s">
        <v>763</v>
      </c>
      <c r="B299" t="s">
        <v>1063</v>
      </c>
      <c r="C299" t="s">
        <v>1063</v>
      </c>
      <c r="D299" t="s">
        <v>475</v>
      </c>
      <c r="E299">
        <v>0</v>
      </c>
      <c r="F299" t="s">
        <v>38</v>
      </c>
      <c r="G299" s="57">
        <v>44040.449444444443</v>
      </c>
      <c r="I299" s="57"/>
      <c r="J299" t="s">
        <v>74</v>
      </c>
      <c r="K299" t="s">
        <v>74</v>
      </c>
      <c r="L299" s="7" t="s">
        <v>763</v>
      </c>
      <c r="M299" s="10"/>
    </row>
    <row r="300" spans="1:13">
      <c r="A300" t="s">
        <v>764</v>
      </c>
      <c r="B300" t="s">
        <v>1064</v>
      </c>
      <c r="C300" t="s">
        <v>1064</v>
      </c>
      <c r="D300" t="s">
        <v>321</v>
      </c>
      <c r="E300">
        <v>0</v>
      </c>
      <c r="F300" t="s">
        <v>38</v>
      </c>
      <c r="G300" s="57">
        <v>44042.859976851854</v>
      </c>
      <c r="I300" s="57"/>
      <c r="J300" t="s">
        <v>74</v>
      </c>
      <c r="K300" t="s">
        <v>74</v>
      </c>
      <c r="L300" s="7" t="s">
        <v>764</v>
      </c>
      <c r="M300" s="10"/>
    </row>
    <row r="301" spans="1:13">
      <c r="A301" t="s">
        <v>765</v>
      </c>
      <c r="B301" t="s">
        <v>1065</v>
      </c>
      <c r="C301" t="s">
        <v>1065</v>
      </c>
      <c r="D301" t="s">
        <v>454</v>
      </c>
      <c r="E301">
        <v>0</v>
      </c>
      <c r="F301" t="s">
        <v>38</v>
      </c>
      <c r="G301" s="57">
        <v>44042.860949074071</v>
      </c>
      <c r="I301" s="57"/>
      <c r="J301" t="s">
        <v>74</v>
      </c>
      <c r="K301" t="s">
        <v>74</v>
      </c>
      <c r="L301" s="7" t="s">
        <v>765</v>
      </c>
      <c r="M301" s="10"/>
    </row>
    <row r="302" spans="1:13">
      <c r="A302" t="s">
        <v>766</v>
      </c>
      <c r="B302" t="s">
        <v>1066</v>
      </c>
      <c r="C302" t="s">
        <v>1066</v>
      </c>
      <c r="D302" t="s">
        <v>475</v>
      </c>
      <c r="E302">
        <v>0</v>
      </c>
      <c r="F302" t="s">
        <v>38</v>
      </c>
      <c r="G302" s="57">
        <v>44042.861388888887</v>
      </c>
      <c r="I302" s="57"/>
      <c r="J302" t="s">
        <v>74</v>
      </c>
      <c r="K302" t="s">
        <v>74</v>
      </c>
      <c r="L302" s="7" t="s">
        <v>766</v>
      </c>
      <c r="M302" s="10"/>
    </row>
    <row r="303" spans="1:13">
      <c r="A303" t="s">
        <v>767</v>
      </c>
      <c r="B303" t="s">
        <v>1067</v>
      </c>
      <c r="C303" t="s">
        <v>1068</v>
      </c>
      <c r="D303" t="s">
        <v>144</v>
      </c>
      <c r="E303">
        <v>0</v>
      </c>
      <c r="F303" t="s">
        <v>38</v>
      </c>
      <c r="G303" s="57">
        <v>44047.791331018518</v>
      </c>
      <c r="H303" t="s">
        <v>38</v>
      </c>
      <c r="I303" s="57">
        <v>44047.791863425926</v>
      </c>
      <c r="J303" t="s">
        <v>73</v>
      </c>
      <c r="K303" t="s">
        <v>74</v>
      </c>
      <c r="L303" s="7" t="s">
        <v>767</v>
      </c>
      <c r="M303" s="10"/>
    </row>
    <row r="304" spans="1:13">
      <c r="A304" t="s">
        <v>768</v>
      </c>
      <c r="B304" t="s">
        <v>1069</v>
      </c>
      <c r="C304" t="s">
        <v>1069</v>
      </c>
      <c r="D304" t="s">
        <v>454</v>
      </c>
      <c r="E304">
        <v>0</v>
      </c>
      <c r="F304" t="s">
        <v>38</v>
      </c>
      <c r="G304" s="57">
        <v>44048.166944444441</v>
      </c>
      <c r="I304" s="57"/>
      <c r="J304" t="s">
        <v>74</v>
      </c>
      <c r="K304" t="s">
        <v>74</v>
      </c>
      <c r="L304" s="7" t="s">
        <v>768</v>
      </c>
      <c r="M304" s="10"/>
    </row>
    <row r="305" spans="1:13">
      <c r="A305" t="s">
        <v>769</v>
      </c>
      <c r="B305" t="s">
        <v>1070</v>
      </c>
      <c r="C305" t="s">
        <v>1070</v>
      </c>
      <c r="D305" t="s">
        <v>415</v>
      </c>
      <c r="E305">
        <v>0</v>
      </c>
      <c r="F305" t="s">
        <v>38</v>
      </c>
      <c r="G305" s="57">
        <v>44051.402106481481</v>
      </c>
      <c r="I305" s="57"/>
      <c r="J305" t="s">
        <v>74</v>
      </c>
      <c r="K305" t="s">
        <v>74</v>
      </c>
      <c r="L305" s="7" t="s">
        <v>769</v>
      </c>
      <c r="M305" s="10"/>
    </row>
    <row r="306" spans="1:13">
      <c r="A306" t="s">
        <v>770</v>
      </c>
      <c r="B306" t="s">
        <v>1071</v>
      </c>
      <c r="C306" t="s">
        <v>1071</v>
      </c>
      <c r="D306" t="s">
        <v>454</v>
      </c>
      <c r="E306">
        <v>0</v>
      </c>
      <c r="F306" t="s">
        <v>38</v>
      </c>
      <c r="G306" s="57">
        <v>44051.411631944444</v>
      </c>
      <c r="I306" s="57"/>
      <c r="J306" t="s">
        <v>74</v>
      </c>
      <c r="K306" t="s">
        <v>74</v>
      </c>
      <c r="L306" s="7" t="s">
        <v>770</v>
      </c>
      <c r="M306" s="10"/>
    </row>
    <row r="307" spans="1:13">
      <c r="A307" t="s">
        <v>771</v>
      </c>
      <c r="B307" t="s">
        <v>1072</v>
      </c>
      <c r="C307" t="s">
        <v>1072</v>
      </c>
      <c r="D307" t="s">
        <v>321</v>
      </c>
      <c r="E307">
        <v>0</v>
      </c>
      <c r="F307" t="s">
        <v>38</v>
      </c>
      <c r="G307" s="57">
        <v>44052.285995370374</v>
      </c>
      <c r="H307" t="s">
        <v>38</v>
      </c>
      <c r="I307" s="57">
        <v>44052.290462962963</v>
      </c>
      <c r="J307" t="s">
        <v>73</v>
      </c>
      <c r="K307" t="s">
        <v>74</v>
      </c>
      <c r="L307" s="7" t="s">
        <v>771</v>
      </c>
      <c r="M307" s="10"/>
    </row>
    <row r="308" spans="1:13">
      <c r="A308" t="s">
        <v>772</v>
      </c>
      <c r="B308" t="s">
        <v>1073</v>
      </c>
      <c r="C308" t="s">
        <v>1073</v>
      </c>
      <c r="D308" t="s">
        <v>475</v>
      </c>
      <c r="E308">
        <v>0</v>
      </c>
      <c r="F308" t="s">
        <v>38</v>
      </c>
      <c r="G308" s="57">
        <v>44055.91878472222</v>
      </c>
      <c r="I308" s="57"/>
      <c r="J308" t="s">
        <v>74</v>
      </c>
      <c r="K308" t="s">
        <v>74</v>
      </c>
      <c r="L308" s="7" t="s">
        <v>772</v>
      </c>
      <c r="M308" s="10"/>
    </row>
    <row r="309" spans="1:13">
      <c r="A309" t="s">
        <v>773</v>
      </c>
      <c r="B309" t="s">
        <v>1074</v>
      </c>
      <c r="C309" t="s">
        <v>1074</v>
      </c>
      <c r="D309" t="s">
        <v>475</v>
      </c>
      <c r="E309">
        <v>0</v>
      </c>
      <c r="F309" t="s">
        <v>38</v>
      </c>
      <c r="G309" s="57">
        <v>44055.91909722222</v>
      </c>
      <c r="I309" s="57"/>
      <c r="J309" t="s">
        <v>74</v>
      </c>
      <c r="K309" t="s">
        <v>74</v>
      </c>
      <c r="L309" s="7" t="s">
        <v>773</v>
      </c>
      <c r="M309" s="10"/>
    </row>
    <row r="310" spans="1:13">
      <c r="A310" t="s">
        <v>774</v>
      </c>
      <c r="B310" t="s">
        <v>1075</v>
      </c>
      <c r="C310" t="s">
        <v>1075</v>
      </c>
      <c r="D310" t="s">
        <v>454</v>
      </c>
      <c r="E310">
        <v>0</v>
      </c>
      <c r="F310" t="s">
        <v>38</v>
      </c>
      <c r="G310" s="57">
        <v>44055.93445601852</v>
      </c>
      <c r="I310" s="57"/>
      <c r="J310" t="s">
        <v>74</v>
      </c>
      <c r="K310" t="s">
        <v>74</v>
      </c>
      <c r="L310" s="7" t="s">
        <v>774</v>
      </c>
      <c r="M310" s="10"/>
    </row>
    <row r="311" spans="1:13">
      <c r="A311" t="s">
        <v>775</v>
      </c>
      <c r="B311" t="s">
        <v>1076</v>
      </c>
      <c r="C311" t="s">
        <v>1076</v>
      </c>
      <c r="D311" t="s">
        <v>454</v>
      </c>
      <c r="E311">
        <v>0</v>
      </c>
      <c r="F311" t="s">
        <v>38</v>
      </c>
      <c r="G311" s="57">
        <v>44055.934571759259</v>
      </c>
      <c r="I311" s="57"/>
      <c r="J311" t="s">
        <v>74</v>
      </c>
      <c r="K311" t="s">
        <v>74</v>
      </c>
      <c r="L311" s="7" t="s">
        <v>775</v>
      </c>
      <c r="M311" s="10"/>
    </row>
    <row r="312" spans="1:13">
      <c r="A312" t="s">
        <v>776</v>
      </c>
      <c r="B312" t="s">
        <v>1077</v>
      </c>
      <c r="C312" t="s">
        <v>1077</v>
      </c>
      <c r="D312" t="s">
        <v>475</v>
      </c>
      <c r="E312">
        <v>0</v>
      </c>
      <c r="F312" t="s">
        <v>38</v>
      </c>
      <c r="G312" s="57">
        <v>44057.253750000003</v>
      </c>
      <c r="I312" s="57"/>
      <c r="J312" t="s">
        <v>74</v>
      </c>
      <c r="K312" t="s">
        <v>74</v>
      </c>
      <c r="L312" s="7" t="s">
        <v>776</v>
      </c>
      <c r="M312" s="10"/>
    </row>
    <row r="313" spans="1:13">
      <c r="A313" t="s">
        <v>777</v>
      </c>
      <c r="B313" t="s">
        <v>1078</v>
      </c>
      <c r="C313" t="s">
        <v>1078</v>
      </c>
      <c r="D313" t="s">
        <v>242</v>
      </c>
      <c r="E313">
        <v>0</v>
      </c>
      <c r="F313" t="s">
        <v>38</v>
      </c>
      <c r="G313" s="57">
        <v>44057.254363425927</v>
      </c>
      <c r="I313" s="57"/>
      <c r="J313" t="s">
        <v>74</v>
      </c>
      <c r="K313" t="s">
        <v>74</v>
      </c>
      <c r="L313" s="7" t="s">
        <v>777</v>
      </c>
      <c r="M313" s="10"/>
    </row>
    <row r="314" spans="1:13">
      <c r="A314" t="s">
        <v>778</v>
      </c>
      <c r="B314" t="s">
        <v>1078</v>
      </c>
      <c r="C314" t="s">
        <v>1078</v>
      </c>
      <c r="D314" t="s">
        <v>321</v>
      </c>
      <c r="E314">
        <v>0</v>
      </c>
      <c r="F314" t="s">
        <v>38</v>
      </c>
      <c r="G314" s="57">
        <v>44057.255289351851</v>
      </c>
      <c r="I314" s="57"/>
      <c r="J314" t="s">
        <v>74</v>
      </c>
      <c r="K314" t="s">
        <v>74</v>
      </c>
      <c r="L314" s="7" t="s">
        <v>778</v>
      </c>
      <c r="M314" s="10"/>
    </row>
    <row r="315" spans="1:13">
      <c r="A315" t="s">
        <v>779</v>
      </c>
      <c r="B315" t="s">
        <v>1079</v>
      </c>
      <c r="C315" t="s">
        <v>1079</v>
      </c>
      <c r="D315" t="s">
        <v>475</v>
      </c>
      <c r="E315">
        <v>0</v>
      </c>
      <c r="F315" t="s">
        <v>38</v>
      </c>
      <c r="G315" s="57">
        <v>44057.259386574071</v>
      </c>
      <c r="I315" s="57"/>
      <c r="J315" t="s">
        <v>74</v>
      </c>
      <c r="K315" t="s">
        <v>74</v>
      </c>
      <c r="L315" s="7" t="s">
        <v>779</v>
      </c>
      <c r="M315" s="10"/>
    </row>
    <row r="316" spans="1:13">
      <c r="A316" t="s">
        <v>780</v>
      </c>
      <c r="B316" t="s">
        <v>1080</v>
      </c>
      <c r="C316" t="s">
        <v>1080</v>
      </c>
      <c r="D316" t="s">
        <v>475</v>
      </c>
      <c r="E316">
        <v>0</v>
      </c>
      <c r="F316" t="s">
        <v>38</v>
      </c>
      <c r="G316" s="57">
        <v>44057.265416666669</v>
      </c>
      <c r="I316" s="57"/>
      <c r="J316" t="s">
        <v>74</v>
      </c>
      <c r="K316" t="s">
        <v>74</v>
      </c>
      <c r="L316" s="7" t="s">
        <v>780</v>
      </c>
      <c r="M316" s="10"/>
    </row>
    <row r="317" spans="1:13">
      <c r="A317" t="s">
        <v>781</v>
      </c>
      <c r="B317" t="s">
        <v>1081</v>
      </c>
      <c r="C317" t="s">
        <v>1081</v>
      </c>
      <c r="D317" t="s">
        <v>237</v>
      </c>
      <c r="E317">
        <v>0</v>
      </c>
      <c r="F317" t="s">
        <v>38</v>
      </c>
      <c r="G317" s="57">
        <v>44057.306273148148</v>
      </c>
      <c r="H317" t="s">
        <v>38</v>
      </c>
      <c r="I317" s="57">
        <v>44066.846064814818</v>
      </c>
      <c r="J317" t="s">
        <v>73</v>
      </c>
      <c r="K317" t="s">
        <v>74</v>
      </c>
      <c r="L317" s="7" t="s">
        <v>781</v>
      </c>
      <c r="M317" s="10"/>
    </row>
    <row r="318" spans="1:13">
      <c r="A318" t="s">
        <v>782</v>
      </c>
      <c r="B318" t="s">
        <v>1082</v>
      </c>
      <c r="C318" t="s">
        <v>1082</v>
      </c>
      <c r="D318" t="s">
        <v>237</v>
      </c>
      <c r="E318">
        <v>0</v>
      </c>
      <c r="F318" t="s">
        <v>38</v>
      </c>
      <c r="G318" s="57">
        <v>44057.306423611109</v>
      </c>
      <c r="H318" t="s">
        <v>38</v>
      </c>
      <c r="I318" s="57">
        <v>44066.845752314817</v>
      </c>
      <c r="J318" t="s">
        <v>73</v>
      </c>
      <c r="K318" t="s">
        <v>74</v>
      </c>
      <c r="L318" s="7" t="s">
        <v>782</v>
      </c>
      <c r="M318" s="10"/>
    </row>
    <row r="319" spans="1:13">
      <c r="A319" t="s">
        <v>783</v>
      </c>
      <c r="B319" t="s">
        <v>1083</v>
      </c>
      <c r="C319" t="s">
        <v>1083</v>
      </c>
      <c r="D319" t="s">
        <v>321</v>
      </c>
      <c r="E319">
        <v>0</v>
      </c>
      <c r="F319" t="s">
        <v>38</v>
      </c>
      <c r="G319" s="57">
        <v>44062.639097222222</v>
      </c>
      <c r="I319" s="57"/>
      <c r="J319" t="s">
        <v>74</v>
      </c>
      <c r="K319" t="s">
        <v>74</v>
      </c>
      <c r="L319" s="7" t="s">
        <v>783</v>
      </c>
      <c r="M319" s="10"/>
    </row>
    <row r="320" spans="1:13">
      <c r="A320" t="s">
        <v>784</v>
      </c>
      <c r="B320" t="s">
        <v>1084</v>
      </c>
      <c r="C320" t="s">
        <v>1084</v>
      </c>
      <c r="D320" t="s">
        <v>475</v>
      </c>
      <c r="E320">
        <v>0</v>
      </c>
      <c r="F320" t="s">
        <v>38</v>
      </c>
      <c r="G320" s="57">
        <v>44062.650578703702</v>
      </c>
      <c r="I320" s="57"/>
      <c r="J320" t="s">
        <v>74</v>
      </c>
      <c r="K320" t="s">
        <v>74</v>
      </c>
      <c r="L320" s="7" t="s">
        <v>784</v>
      </c>
      <c r="M320" s="10"/>
    </row>
    <row r="321" spans="1:13">
      <c r="A321" t="s">
        <v>785</v>
      </c>
      <c r="B321" t="s">
        <v>1085</v>
      </c>
      <c r="C321" t="s">
        <v>1085</v>
      </c>
      <c r="D321" t="s">
        <v>475</v>
      </c>
      <c r="E321">
        <v>0</v>
      </c>
      <c r="F321" t="s">
        <v>38</v>
      </c>
      <c r="G321" s="57">
        <v>44062.650821759256</v>
      </c>
      <c r="I321" s="57"/>
      <c r="J321" t="s">
        <v>74</v>
      </c>
      <c r="K321" t="s">
        <v>74</v>
      </c>
      <c r="L321" s="7" t="s">
        <v>785</v>
      </c>
      <c r="M321" s="10"/>
    </row>
    <row r="322" spans="1:13">
      <c r="A322" t="s">
        <v>786</v>
      </c>
      <c r="B322" t="s">
        <v>1086</v>
      </c>
      <c r="C322" t="s">
        <v>1086</v>
      </c>
      <c r="D322" t="s">
        <v>237</v>
      </c>
      <c r="E322">
        <v>0</v>
      </c>
      <c r="F322" t="s">
        <v>38</v>
      </c>
      <c r="G322" s="57">
        <v>44066.846250000002</v>
      </c>
      <c r="H322" t="s">
        <v>38</v>
      </c>
      <c r="I322" s="57">
        <v>44066.846446759257</v>
      </c>
      <c r="J322" t="s">
        <v>73</v>
      </c>
      <c r="K322" t="s">
        <v>74</v>
      </c>
      <c r="L322" s="7" t="s">
        <v>786</v>
      </c>
      <c r="M322" s="10"/>
    </row>
    <row r="323" spans="1:13">
      <c r="A323" t="s">
        <v>787</v>
      </c>
      <c r="B323" t="s">
        <v>1087</v>
      </c>
      <c r="C323" t="s">
        <v>1087</v>
      </c>
      <c r="D323" t="s">
        <v>237</v>
      </c>
      <c r="E323">
        <v>0</v>
      </c>
      <c r="F323" t="s">
        <v>38</v>
      </c>
      <c r="G323" s="57">
        <v>44066.846701388888</v>
      </c>
      <c r="I323" s="57"/>
      <c r="J323" t="s">
        <v>74</v>
      </c>
      <c r="K323" t="s">
        <v>74</v>
      </c>
      <c r="L323" s="7" t="s">
        <v>787</v>
      </c>
      <c r="M323" s="10"/>
    </row>
    <row r="324" spans="1:13">
      <c r="A324" t="s">
        <v>788</v>
      </c>
      <c r="B324" t="s">
        <v>1088</v>
      </c>
      <c r="C324" t="s">
        <v>1088</v>
      </c>
      <c r="D324" t="s">
        <v>415</v>
      </c>
      <c r="E324">
        <v>0</v>
      </c>
      <c r="F324" t="s">
        <v>78</v>
      </c>
      <c r="G324" s="57">
        <v>44068.536944444444</v>
      </c>
      <c r="I324" s="57"/>
      <c r="J324" t="s">
        <v>74</v>
      </c>
      <c r="K324" t="s">
        <v>74</v>
      </c>
      <c r="L324" s="7" t="s">
        <v>788</v>
      </c>
      <c r="M324" s="10"/>
    </row>
    <row r="325" spans="1:13">
      <c r="A325" t="s">
        <v>789</v>
      </c>
      <c r="B325" t="s">
        <v>1089</v>
      </c>
      <c r="C325" t="s">
        <v>1089</v>
      </c>
      <c r="D325" t="s">
        <v>321</v>
      </c>
      <c r="E325">
        <v>0</v>
      </c>
      <c r="F325" t="s">
        <v>38</v>
      </c>
      <c r="G325" s="57">
        <v>44069.457418981481</v>
      </c>
      <c r="I325" s="57"/>
      <c r="J325" t="s">
        <v>74</v>
      </c>
      <c r="K325" t="s">
        <v>74</v>
      </c>
      <c r="L325" s="7" t="s">
        <v>789</v>
      </c>
      <c r="M325" s="10"/>
    </row>
    <row r="326" spans="1:13">
      <c r="A326" t="s">
        <v>790</v>
      </c>
      <c r="B326" t="s">
        <v>1090</v>
      </c>
      <c r="C326" t="s">
        <v>1090</v>
      </c>
      <c r="D326" t="s">
        <v>475</v>
      </c>
      <c r="E326">
        <v>0</v>
      </c>
      <c r="F326" t="s">
        <v>38</v>
      </c>
      <c r="G326" s="57">
        <v>44069.522662037038</v>
      </c>
      <c r="I326" s="57"/>
      <c r="J326" t="s">
        <v>74</v>
      </c>
      <c r="K326" t="s">
        <v>74</v>
      </c>
      <c r="L326" s="7" t="s">
        <v>790</v>
      </c>
      <c r="M326" s="10"/>
    </row>
    <row r="327" spans="1:13">
      <c r="A327" t="s">
        <v>791</v>
      </c>
      <c r="B327" t="s">
        <v>1091</v>
      </c>
      <c r="C327" t="s">
        <v>1091</v>
      </c>
      <c r="D327" t="s">
        <v>144</v>
      </c>
      <c r="E327">
        <v>0</v>
      </c>
      <c r="F327" t="s">
        <v>38</v>
      </c>
      <c r="G327" s="57">
        <v>44070.929432870369</v>
      </c>
      <c r="I327" s="57"/>
      <c r="J327" t="s">
        <v>74</v>
      </c>
      <c r="K327" t="s">
        <v>74</v>
      </c>
      <c r="L327" s="7" t="s">
        <v>791</v>
      </c>
      <c r="M327" s="10"/>
    </row>
    <row r="328" spans="1:13">
      <c r="A328" t="s">
        <v>792</v>
      </c>
      <c r="B328" t="s">
        <v>1092</v>
      </c>
      <c r="C328" t="s">
        <v>1092</v>
      </c>
      <c r="D328" t="s">
        <v>242</v>
      </c>
      <c r="E328">
        <v>0</v>
      </c>
      <c r="F328" t="s">
        <v>76</v>
      </c>
      <c r="G328" s="57">
        <v>44085.481145833335</v>
      </c>
      <c r="I328" s="57"/>
      <c r="J328" t="s">
        <v>74</v>
      </c>
      <c r="K328" t="s">
        <v>74</v>
      </c>
      <c r="L328" s="7" t="s">
        <v>792</v>
      </c>
      <c r="M328" s="10"/>
    </row>
    <row r="329" spans="1:13">
      <c r="A329" t="s">
        <v>793</v>
      </c>
      <c r="B329" t="s">
        <v>1093</v>
      </c>
      <c r="C329" t="s">
        <v>1093</v>
      </c>
      <c r="D329" t="s">
        <v>321</v>
      </c>
      <c r="E329">
        <v>0</v>
      </c>
      <c r="F329" t="s">
        <v>38</v>
      </c>
      <c r="G329" s="57">
        <v>44086.549826388888</v>
      </c>
      <c r="I329" s="57"/>
      <c r="J329" t="s">
        <v>74</v>
      </c>
      <c r="K329" t="s">
        <v>74</v>
      </c>
      <c r="L329" s="7" t="s">
        <v>793</v>
      </c>
      <c r="M329" s="10"/>
    </row>
    <row r="330" spans="1:13">
      <c r="A330" t="s">
        <v>794</v>
      </c>
      <c r="B330" t="s">
        <v>1094</v>
      </c>
      <c r="C330" t="s">
        <v>1094</v>
      </c>
      <c r="D330" t="s">
        <v>242</v>
      </c>
      <c r="E330">
        <v>0</v>
      </c>
      <c r="F330" t="s">
        <v>38</v>
      </c>
      <c r="G330" s="57">
        <v>44086.550925925927</v>
      </c>
      <c r="I330" s="57"/>
      <c r="J330" t="s">
        <v>74</v>
      </c>
      <c r="K330" t="s">
        <v>74</v>
      </c>
      <c r="L330" s="7" t="s">
        <v>794</v>
      </c>
      <c r="M330" s="10"/>
    </row>
    <row r="331" spans="1:13">
      <c r="L331" s="7">
        <v>329</v>
      </c>
      <c r="M331" s="10"/>
    </row>
    <row r="332" spans="1:13">
      <c r="L332" s="7">
        <v>330</v>
      </c>
      <c r="M332" s="10"/>
    </row>
    <row r="333" spans="1:13">
      <c r="L333" s="7">
        <v>331</v>
      </c>
      <c r="M333" s="10"/>
    </row>
    <row r="334" spans="1:13">
      <c r="L334" s="7">
        <v>332</v>
      </c>
      <c r="M334" s="10"/>
    </row>
    <row r="335" spans="1:13">
      <c r="L335" s="7">
        <v>333</v>
      </c>
      <c r="M335" s="10"/>
    </row>
    <row r="336" spans="1:13">
      <c r="L336" s="7">
        <v>334</v>
      </c>
      <c r="M336" s="10"/>
    </row>
    <row r="337" spans="12:13">
      <c r="L337" s="7">
        <v>335</v>
      </c>
      <c r="M337" s="10"/>
    </row>
    <row r="338" spans="12:13">
      <c r="L338" s="7">
        <v>336</v>
      </c>
      <c r="M338" s="10"/>
    </row>
    <row r="339" spans="12:13">
      <c r="L339" s="7">
        <v>337</v>
      </c>
      <c r="M339" s="10"/>
    </row>
    <row r="340" spans="12:13">
      <c r="L340" s="7">
        <v>338</v>
      </c>
      <c r="M340" s="10"/>
    </row>
    <row r="341" spans="12:13">
      <c r="L341" s="7">
        <v>339</v>
      </c>
      <c r="M341" s="10"/>
    </row>
    <row r="342" spans="12:13">
      <c r="L342" s="7">
        <v>340</v>
      </c>
      <c r="M342" s="10"/>
    </row>
    <row r="343" spans="12:13">
      <c r="L343" s="7">
        <v>341</v>
      </c>
      <c r="M343" s="10"/>
    </row>
    <row r="344" spans="12:13">
      <c r="L344" s="7">
        <v>342</v>
      </c>
      <c r="M344" s="10"/>
    </row>
    <row r="345" spans="12:13">
      <c r="L345" s="7">
        <v>343</v>
      </c>
      <c r="M345" s="10"/>
    </row>
    <row r="346" spans="12:13">
      <c r="L346" s="7">
        <v>344</v>
      </c>
      <c r="M346" s="10"/>
    </row>
    <row r="347" spans="12:13">
      <c r="L347" s="7">
        <v>345</v>
      </c>
      <c r="M347" s="10"/>
    </row>
    <row r="348" spans="12:13">
      <c r="L348" s="7">
        <v>346</v>
      </c>
      <c r="M348" s="10"/>
    </row>
    <row r="349" spans="12:13">
      <c r="L349" s="7">
        <v>347</v>
      </c>
      <c r="M349" s="10"/>
    </row>
    <row r="350" spans="12:13">
      <c r="L350" s="7">
        <v>348</v>
      </c>
      <c r="M350" s="10"/>
    </row>
    <row r="351" spans="12:13">
      <c r="L351" s="7">
        <v>349</v>
      </c>
      <c r="M351" s="10"/>
    </row>
    <row r="352" spans="12:13">
      <c r="L352" s="7">
        <v>350</v>
      </c>
      <c r="M352" s="10"/>
    </row>
    <row r="353" spans="12:13">
      <c r="L353" s="7">
        <v>351</v>
      </c>
      <c r="M353" s="10"/>
    </row>
    <row r="354" spans="12:13">
      <c r="L354" s="7">
        <v>352</v>
      </c>
      <c r="M354" s="10"/>
    </row>
    <row r="355" spans="12:13">
      <c r="L355" s="7">
        <v>353</v>
      </c>
      <c r="M355" s="10"/>
    </row>
    <row r="356" spans="12:13">
      <c r="L356" s="7">
        <v>354</v>
      </c>
      <c r="M356" s="10"/>
    </row>
    <row r="357" spans="12:13">
      <c r="L357" s="7">
        <v>355</v>
      </c>
      <c r="M357" s="10"/>
    </row>
    <row r="358" spans="12:13">
      <c r="L358" s="7">
        <v>356</v>
      </c>
      <c r="M358" s="10"/>
    </row>
    <row r="359" spans="12:13">
      <c r="L359" s="7">
        <v>357</v>
      </c>
      <c r="M359" s="10"/>
    </row>
    <row r="360" spans="12:13">
      <c r="L360" s="7">
        <v>358</v>
      </c>
      <c r="M360" s="10"/>
    </row>
    <row r="361" spans="12:13">
      <c r="L361" s="7">
        <v>359</v>
      </c>
      <c r="M361" s="10"/>
    </row>
    <row r="362" spans="12:13">
      <c r="L362" s="7">
        <v>360</v>
      </c>
      <c r="M362" s="10"/>
    </row>
    <row r="363" spans="12:13">
      <c r="L363" s="7">
        <v>361</v>
      </c>
      <c r="M363" s="10"/>
    </row>
    <row r="364" spans="12:13">
      <c r="L364" s="7">
        <v>362</v>
      </c>
      <c r="M364" s="10"/>
    </row>
    <row r="365" spans="12:13">
      <c r="L365" s="7">
        <v>363</v>
      </c>
      <c r="M365" s="10"/>
    </row>
    <row r="366" spans="12:13">
      <c r="L366" s="7">
        <v>364</v>
      </c>
      <c r="M366" s="10"/>
    </row>
    <row r="367" spans="12:13">
      <c r="L367" s="7">
        <v>365</v>
      </c>
      <c r="M367" s="10"/>
    </row>
    <row r="368" spans="12:13">
      <c r="L368" s="7">
        <v>366</v>
      </c>
      <c r="M368" s="10"/>
    </row>
    <row r="369" spans="12:13">
      <c r="L369" s="7">
        <v>367</v>
      </c>
      <c r="M369" s="10"/>
    </row>
    <row r="370" spans="12:13">
      <c r="L370" s="7">
        <v>368</v>
      </c>
      <c r="M370" s="10"/>
    </row>
    <row r="371" spans="12:13">
      <c r="L371" s="7">
        <v>369</v>
      </c>
      <c r="M371" s="10"/>
    </row>
    <row r="372" spans="12:13">
      <c r="L372" s="7">
        <v>370</v>
      </c>
      <c r="M372" s="10"/>
    </row>
    <row r="373" spans="12:13">
      <c r="L373" s="7">
        <v>371</v>
      </c>
      <c r="M373" s="10"/>
    </row>
    <row r="374" spans="12:13">
      <c r="L374" s="7">
        <v>372</v>
      </c>
      <c r="M374" s="10"/>
    </row>
    <row r="375" spans="12:13">
      <c r="L375" s="7">
        <v>373</v>
      </c>
      <c r="M375" s="10"/>
    </row>
    <row r="376" spans="12:13">
      <c r="L376" s="7">
        <v>374</v>
      </c>
      <c r="M376" s="10"/>
    </row>
    <row r="377" spans="12:13">
      <c r="L377" s="7">
        <v>375</v>
      </c>
      <c r="M377" s="10"/>
    </row>
    <row r="378" spans="12:13">
      <c r="L378" s="7">
        <v>376</v>
      </c>
      <c r="M378" s="10"/>
    </row>
    <row r="379" spans="12:13">
      <c r="L379" s="7">
        <v>377</v>
      </c>
      <c r="M379" s="10"/>
    </row>
    <row r="380" spans="12:13">
      <c r="L380" s="7">
        <v>378</v>
      </c>
      <c r="M380" s="10"/>
    </row>
    <row r="381" spans="12:13">
      <c r="L381" s="7">
        <v>379</v>
      </c>
      <c r="M381" s="10"/>
    </row>
    <row r="382" spans="12:13">
      <c r="L382" s="7">
        <v>380</v>
      </c>
      <c r="M382" s="10"/>
    </row>
    <row r="383" spans="12:13">
      <c r="L383" s="7">
        <v>381</v>
      </c>
      <c r="M383" s="10"/>
    </row>
    <row r="384" spans="12:13">
      <c r="L384" s="7">
        <v>382</v>
      </c>
      <c r="M384" s="10"/>
    </row>
    <row r="385" spans="12:13">
      <c r="L385" s="7">
        <v>383</v>
      </c>
      <c r="M385" s="10"/>
    </row>
    <row r="386" spans="12:13">
      <c r="L386" s="7">
        <v>384</v>
      </c>
      <c r="M386" s="10"/>
    </row>
    <row r="387" spans="12:13">
      <c r="L387" s="7">
        <v>385</v>
      </c>
      <c r="M387" s="10"/>
    </row>
    <row r="388" spans="12:13">
      <c r="L388" s="7">
        <v>386</v>
      </c>
      <c r="M388" s="10"/>
    </row>
    <row r="389" spans="12:13">
      <c r="L389" s="7">
        <v>387</v>
      </c>
      <c r="M389" s="10"/>
    </row>
    <row r="390" spans="12:13">
      <c r="L390" s="7">
        <v>388</v>
      </c>
      <c r="M390" s="10"/>
    </row>
    <row r="391" spans="12:13">
      <c r="L391" s="7">
        <v>389</v>
      </c>
      <c r="M391" s="10"/>
    </row>
    <row r="392" spans="12:13">
      <c r="L392" s="7">
        <v>390</v>
      </c>
      <c r="M392" s="10"/>
    </row>
    <row r="393" spans="12:13">
      <c r="L393" s="7">
        <v>391</v>
      </c>
      <c r="M393" s="10"/>
    </row>
    <row r="394" spans="12:13">
      <c r="L394" s="7">
        <v>392</v>
      </c>
      <c r="M394" s="10"/>
    </row>
    <row r="395" spans="12:13">
      <c r="L395" s="7">
        <v>393</v>
      </c>
      <c r="M395" s="10"/>
    </row>
    <row r="396" spans="12:13">
      <c r="L396" s="7">
        <v>394</v>
      </c>
      <c r="M396" s="10"/>
    </row>
    <row r="397" spans="12:13">
      <c r="L397" s="7">
        <v>395</v>
      </c>
      <c r="M397" s="10"/>
    </row>
    <row r="398" spans="12:13">
      <c r="L398" s="7">
        <v>396</v>
      </c>
      <c r="M398" s="10"/>
    </row>
    <row r="399" spans="12:13">
      <c r="L399" s="7">
        <v>397</v>
      </c>
      <c r="M399" s="10"/>
    </row>
    <row r="400" spans="12:13">
      <c r="L400" s="7">
        <v>398</v>
      </c>
      <c r="M400" s="10"/>
    </row>
    <row r="401" spans="12:13">
      <c r="L401" s="7">
        <v>399</v>
      </c>
      <c r="M401" s="10"/>
    </row>
    <row r="402" spans="12:13">
      <c r="L402" s="7">
        <v>400</v>
      </c>
      <c r="M402" s="10"/>
    </row>
    <row r="403" spans="12:13">
      <c r="L403" s="7">
        <v>401</v>
      </c>
      <c r="M403" s="10"/>
    </row>
    <row r="404" spans="12:13">
      <c r="L404" s="7">
        <v>402</v>
      </c>
      <c r="M404" s="10"/>
    </row>
    <row r="405" spans="12:13">
      <c r="L405" s="7">
        <v>403</v>
      </c>
      <c r="M405" s="10"/>
    </row>
    <row r="406" spans="12:13">
      <c r="L406" s="7">
        <v>404</v>
      </c>
      <c r="M406" s="10"/>
    </row>
    <row r="407" spans="12:13">
      <c r="L407" s="7">
        <v>405</v>
      </c>
      <c r="M407" s="10"/>
    </row>
    <row r="408" spans="12:13">
      <c r="L408" s="7">
        <v>406</v>
      </c>
      <c r="M408" s="10"/>
    </row>
    <row r="409" spans="12:13">
      <c r="L409" s="7">
        <v>407</v>
      </c>
      <c r="M409" s="10"/>
    </row>
    <row r="410" spans="12:13">
      <c r="L410" s="7">
        <v>408</v>
      </c>
      <c r="M410" s="10"/>
    </row>
    <row r="411" spans="12:13">
      <c r="L411" s="7">
        <v>409</v>
      </c>
      <c r="M411" s="10"/>
    </row>
    <row r="412" spans="12:13">
      <c r="L412" s="7">
        <v>410</v>
      </c>
      <c r="M412" s="10"/>
    </row>
    <row r="413" spans="12:13">
      <c r="L413" s="7">
        <v>411</v>
      </c>
      <c r="M413" s="10"/>
    </row>
    <row r="414" spans="12:13">
      <c r="L414" s="7">
        <v>412</v>
      </c>
      <c r="M414" s="10"/>
    </row>
    <row r="415" spans="12:13">
      <c r="L415" s="7">
        <v>413</v>
      </c>
      <c r="M415" s="10"/>
    </row>
    <row r="416" spans="12:13">
      <c r="L416" s="7">
        <v>414</v>
      </c>
      <c r="M416" s="10"/>
    </row>
    <row r="417" spans="12:13">
      <c r="L417" s="7">
        <v>415</v>
      </c>
      <c r="M417" s="10"/>
    </row>
    <row r="418" spans="12:13">
      <c r="L418" s="7">
        <v>416</v>
      </c>
      <c r="M418" s="10"/>
    </row>
    <row r="419" spans="12:13">
      <c r="L419" s="7">
        <v>417</v>
      </c>
      <c r="M419" s="10"/>
    </row>
    <row r="420" spans="12:13">
      <c r="L420" s="7">
        <v>418</v>
      </c>
      <c r="M420" s="10"/>
    </row>
    <row r="421" spans="12:13">
      <c r="L421" s="7">
        <v>419</v>
      </c>
      <c r="M421" s="10"/>
    </row>
    <row r="422" spans="12:13">
      <c r="L422" s="7">
        <v>420</v>
      </c>
      <c r="M422" s="10"/>
    </row>
    <row r="423" spans="12:13">
      <c r="L423" s="7">
        <v>421</v>
      </c>
      <c r="M423" s="10"/>
    </row>
    <row r="424" spans="12:13">
      <c r="L424" s="7">
        <v>422</v>
      </c>
      <c r="M424" s="10"/>
    </row>
    <row r="425" spans="12:13">
      <c r="L425" s="7">
        <v>423</v>
      </c>
      <c r="M425" s="10"/>
    </row>
    <row r="426" spans="12:13">
      <c r="L426" s="7">
        <v>424</v>
      </c>
      <c r="M426" s="10"/>
    </row>
    <row r="427" spans="12:13">
      <c r="L427" s="7">
        <v>425</v>
      </c>
      <c r="M427" s="10"/>
    </row>
    <row r="428" spans="12:13">
      <c r="L428" s="7">
        <v>426</v>
      </c>
      <c r="M428" s="10"/>
    </row>
    <row r="429" spans="12:13">
      <c r="L429" s="7">
        <v>427</v>
      </c>
      <c r="M429" s="10"/>
    </row>
    <row r="430" spans="12:13">
      <c r="L430" s="7">
        <v>428</v>
      </c>
      <c r="M430" s="10"/>
    </row>
    <row r="431" spans="12:13">
      <c r="L431" s="7">
        <v>429</v>
      </c>
      <c r="M431" s="10"/>
    </row>
    <row r="432" spans="12:13">
      <c r="L432" s="7">
        <v>430</v>
      </c>
      <c r="M432" s="10"/>
    </row>
    <row r="433" spans="12:13">
      <c r="L433" s="7">
        <v>431</v>
      </c>
      <c r="M433" s="10"/>
    </row>
    <row r="434" spans="12:13">
      <c r="L434" s="7">
        <v>432</v>
      </c>
      <c r="M434" s="10"/>
    </row>
    <row r="435" spans="12:13">
      <c r="L435" s="7">
        <v>433</v>
      </c>
      <c r="M435" s="10"/>
    </row>
    <row r="436" spans="12:13">
      <c r="L436" s="7">
        <v>434</v>
      </c>
      <c r="M436" s="10"/>
    </row>
    <row r="437" spans="12:13">
      <c r="L437" s="7">
        <v>435</v>
      </c>
      <c r="M437" s="10"/>
    </row>
    <row r="438" spans="12:13">
      <c r="L438" s="7">
        <v>436</v>
      </c>
      <c r="M438" s="10"/>
    </row>
    <row r="439" spans="12:13">
      <c r="L439" s="7">
        <v>437</v>
      </c>
      <c r="M439" s="10"/>
    </row>
    <row r="440" spans="12:13">
      <c r="L440" s="7">
        <v>438</v>
      </c>
      <c r="M440" s="10"/>
    </row>
    <row r="441" spans="12:13">
      <c r="L441" s="7">
        <v>439</v>
      </c>
      <c r="M441" s="10"/>
    </row>
    <row r="442" spans="12:13">
      <c r="L442" s="7">
        <v>440</v>
      </c>
      <c r="M442" s="10"/>
    </row>
    <row r="443" spans="12:13">
      <c r="L443" s="7">
        <v>441</v>
      </c>
      <c r="M443" s="10"/>
    </row>
    <row r="444" spans="12:13">
      <c r="L444" s="7">
        <v>442</v>
      </c>
      <c r="M444" s="10"/>
    </row>
    <row r="445" spans="12:13">
      <c r="L445" s="7">
        <v>443</v>
      </c>
      <c r="M445" s="10"/>
    </row>
    <row r="446" spans="12:13">
      <c r="L446" s="7">
        <v>444</v>
      </c>
      <c r="M446" s="10"/>
    </row>
    <row r="447" spans="12:13">
      <c r="L447" s="7">
        <v>445</v>
      </c>
      <c r="M447" s="10"/>
    </row>
    <row r="448" spans="12:13">
      <c r="L448" s="7">
        <v>446</v>
      </c>
      <c r="M448" s="10"/>
    </row>
    <row r="449" spans="12:13">
      <c r="L449" s="7">
        <v>447</v>
      </c>
      <c r="M449" s="10"/>
    </row>
    <row r="450" spans="12:13">
      <c r="L450" s="7">
        <v>448</v>
      </c>
      <c r="M450" s="10"/>
    </row>
    <row r="451" spans="12:13">
      <c r="L451" s="7">
        <v>449</v>
      </c>
      <c r="M451" s="10"/>
    </row>
    <row r="452" spans="12:13">
      <c r="L452" s="7">
        <v>450</v>
      </c>
      <c r="M452" s="10"/>
    </row>
    <row r="453" spans="12:13">
      <c r="L453" s="7">
        <v>451</v>
      </c>
      <c r="M453" s="10"/>
    </row>
    <row r="454" spans="12:13">
      <c r="L454" s="7">
        <v>452</v>
      </c>
      <c r="M454" s="10"/>
    </row>
    <row r="455" spans="12:13">
      <c r="L455" s="7">
        <v>453</v>
      </c>
      <c r="M455" s="10"/>
    </row>
    <row r="456" spans="12:13">
      <c r="L456" s="7">
        <v>454</v>
      </c>
      <c r="M456" s="10"/>
    </row>
    <row r="457" spans="12:13">
      <c r="L457" s="7">
        <v>455</v>
      </c>
      <c r="M457" s="10"/>
    </row>
    <row r="458" spans="12:13">
      <c r="L458" s="7">
        <v>456</v>
      </c>
      <c r="M458" s="10"/>
    </row>
    <row r="459" spans="12:13">
      <c r="L459" s="7">
        <v>457</v>
      </c>
      <c r="M459" s="10"/>
    </row>
    <row r="460" spans="12:13">
      <c r="L460" s="7">
        <v>458</v>
      </c>
      <c r="M460" s="10"/>
    </row>
    <row r="461" spans="12:13">
      <c r="L461" s="7">
        <v>459</v>
      </c>
      <c r="M461" s="10"/>
    </row>
    <row r="462" spans="12:13">
      <c r="L462" s="7">
        <v>460</v>
      </c>
      <c r="M462" s="10"/>
    </row>
    <row r="463" spans="12:13">
      <c r="L463" s="7">
        <v>461</v>
      </c>
      <c r="M463" s="10"/>
    </row>
    <row r="464" spans="12:13">
      <c r="L464" s="7">
        <v>462</v>
      </c>
      <c r="M464" s="10"/>
    </row>
    <row r="465" spans="12:13">
      <c r="L465" s="7">
        <v>463</v>
      </c>
      <c r="M465" s="10"/>
    </row>
    <row r="466" spans="12:13">
      <c r="L466" s="7">
        <v>464</v>
      </c>
      <c r="M466" s="10"/>
    </row>
    <row r="467" spans="12:13">
      <c r="L467" s="7">
        <v>465</v>
      </c>
      <c r="M467" s="10"/>
    </row>
    <row r="468" spans="12:13">
      <c r="L468" s="7">
        <v>466</v>
      </c>
      <c r="M468" s="10"/>
    </row>
    <row r="469" spans="12:13">
      <c r="L469" s="7">
        <v>467</v>
      </c>
      <c r="M469" s="10"/>
    </row>
    <row r="470" spans="12:13">
      <c r="L470" s="7">
        <v>468</v>
      </c>
      <c r="M470" s="10"/>
    </row>
    <row r="471" spans="12:13">
      <c r="L471" s="7">
        <v>469</v>
      </c>
      <c r="M471" s="10"/>
    </row>
    <row r="472" spans="12:13">
      <c r="L472" s="7">
        <v>470</v>
      </c>
      <c r="M472" s="10"/>
    </row>
    <row r="473" spans="12:13">
      <c r="L473" s="7">
        <v>471</v>
      </c>
      <c r="M473" s="10"/>
    </row>
    <row r="474" spans="12:13">
      <c r="L474" s="7">
        <v>472</v>
      </c>
      <c r="M474" s="10"/>
    </row>
    <row r="475" spans="12:13">
      <c r="L475" s="7">
        <v>473</v>
      </c>
      <c r="M475" s="10"/>
    </row>
    <row r="476" spans="12:13">
      <c r="L476" s="7">
        <v>474</v>
      </c>
      <c r="M476" s="10"/>
    </row>
    <row r="477" spans="12:13">
      <c r="L477" s="7">
        <v>475</v>
      </c>
      <c r="M477" s="10"/>
    </row>
    <row r="478" spans="12:13">
      <c r="L478" s="7">
        <v>476</v>
      </c>
      <c r="M478" s="10"/>
    </row>
    <row r="479" spans="12:13">
      <c r="L479" s="7">
        <v>477</v>
      </c>
      <c r="M479" s="10"/>
    </row>
    <row r="480" spans="12:13">
      <c r="L480" s="7">
        <v>478</v>
      </c>
      <c r="M480" s="10"/>
    </row>
    <row r="481" spans="12:13">
      <c r="L481" s="7">
        <v>479</v>
      </c>
      <c r="M481" s="10"/>
    </row>
    <row r="482" spans="12:13">
      <c r="L482" s="7">
        <v>480</v>
      </c>
      <c r="M482" s="10"/>
    </row>
    <row r="483" spans="12:13">
      <c r="L483" s="7">
        <v>481</v>
      </c>
      <c r="M483" s="10"/>
    </row>
    <row r="484" spans="12:13">
      <c r="L484" s="7">
        <v>482</v>
      </c>
      <c r="M484" s="10"/>
    </row>
    <row r="485" spans="12:13">
      <c r="L485" s="7">
        <v>483</v>
      </c>
      <c r="M485" s="10"/>
    </row>
    <row r="486" spans="12:13">
      <c r="L486" s="7">
        <v>484</v>
      </c>
      <c r="M486" s="10"/>
    </row>
    <row r="487" spans="12:13">
      <c r="L487" s="7">
        <v>485</v>
      </c>
      <c r="M487" s="10"/>
    </row>
    <row r="488" spans="12:13">
      <c r="L488" s="7">
        <v>486</v>
      </c>
      <c r="M488" s="10"/>
    </row>
    <row r="489" spans="12:13">
      <c r="L489" s="7">
        <v>487</v>
      </c>
      <c r="M489" s="10"/>
    </row>
    <row r="490" spans="12:13">
      <c r="L490" s="7">
        <v>488</v>
      </c>
      <c r="M490" s="10"/>
    </row>
    <row r="491" spans="12:13">
      <c r="L491" s="7">
        <v>489</v>
      </c>
      <c r="M491" s="10"/>
    </row>
    <row r="492" spans="12:13">
      <c r="L492" s="7">
        <v>490</v>
      </c>
      <c r="M492" s="10"/>
    </row>
    <row r="493" spans="12:13">
      <c r="L493" s="7">
        <v>491</v>
      </c>
      <c r="M493" s="10"/>
    </row>
    <row r="494" spans="12:13">
      <c r="L494" s="7">
        <v>492</v>
      </c>
      <c r="M494" s="10"/>
    </row>
    <row r="495" spans="12:13">
      <c r="L495" s="7">
        <v>493</v>
      </c>
      <c r="M495" s="10"/>
    </row>
    <row r="496" spans="12:13">
      <c r="L496" s="7">
        <v>494</v>
      </c>
      <c r="M496" s="10"/>
    </row>
    <row r="497" spans="12:13">
      <c r="L497" s="7">
        <v>495</v>
      </c>
      <c r="M497" s="10"/>
    </row>
    <row r="498" spans="12:13">
      <c r="L498" s="7">
        <v>496</v>
      </c>
      <c r="M498" s="10"/>
    </row>
    <row r="499" spans="12:13">
      <c r="L499" s="7">
        <v>497</v>
      </c>
      <c r="M499" s="10"/>
    </row>
    <row r="500" spans="12:13">
      <c r="L500" s="7">
        <v>498</v>
      </c>
      <c r="M500" s="10"/>
    </row>
    <row r="501" spans="12:13">
      <c r="L501" s="7">
        <v>499</v>
      </c>
      <c r="M501" s="10"/>
    </row>
    <row r="502" spans="12:13">
      <c r="L502" s="7">
        <v>500</v>
      </c>
      <c r="M502" s="10"/>
    </row>
    <row r="503" spans="12:13">
      <c r="L503" s="7">
        <v>501</v>
      </c>
      <c r="M503" s="10"/>
    </row>
    <row r="504" spans="12:13">
      <c r="L504" s="7">
        <v>502</v>
      </c>
      <c r="M504" s="10"/>
    </row>
    <row r="505" spans="12:13">
      <c r="L505" s="7">
        <v>503</v>
      </c>
      <c r="M505" s="10"/>
    </row>
    <row r="506" spans="12:13">
      <c r="L506" s="7">
        <v>504</v>
      </c>
      <c r="M506" s="10"/>
    </row>
    <row r="507" spans="12:13">
      <c r="L507" s="7">
        <v>505</v>
      </c>
      <c r="M507" s="10"/>
    </row>
    <row r="508" spans="12:13">
      <c r="L508" s="7">
        <v>506</v>
      </c>
      <c r="M508" s="10"/>
    </row>
    <row r="509" spans="12:13">
      <c r="L509" s="7">
        <v>507</v>
      </c>
      <c r="M509" s="10"/>
    </row>
    <row r="510" spans="12:13">
      <c r="L510" s="7">
        <v>508</v>
      </c>
      <c r="M510" s="10"/>
    </row>
    <row r="511" spans="12:13">
      <c r="L511" s="7">
        <v>509</v>
      </c>
      <c r="M511" s="10"/>
    </row>
    <row r="512" spans="12:13">
      <c r="L512" s="7">
        <v>510</v>
      </c>
      <c r="M512" s="10"/>
    </row>
    <row r="513" spans="12:13">
      <c r="L513" s="7">
        <v>511</v>
      </c>
      <c r="M513" s="10"/>
    </row>
    <row r="514" spans="12:13">
      <c r="L514" s="7">
        <v>512</v>
      </c>
      <c r="M514" s="10"/>
    </row>
    <row r="515" spans="12:13">
      <c r="L515" s="7">
        <v>513</v>
      </c>
      <c r="M515" s="10"/>
    </row>
    <row r="516" spans="12:13">
      <c r="L516" s="7">
        <v>514</v>
      </c>
      <c r="M516" s="10"/>
    </row>
    <row r="517" spans="12:13">
      <c r="L517" s="7">
        <v>515</v>
      </c>
      <c r="M517" s="10"/>
    </row>
    <row r="518" spans="12:13">
      <c r="L518" s="7">
        <v>516</v>
      </c>
      <c r="M518" s="10"/>
    </row>
    <row r="519" spans="12:13">
      <c r="L519" s="7">
        <v>517</v>
      </c>
      <c r="M519" s="10"/>
    </row>
    <row r="520" spans="12:13">
      <c r="L520" s="7">
        <v>518</v>
      </c>
      <c r="M520" s="10"/>
    </row>
    <row r="521" spans="12:13">
      <c r="L521" s="7">
        <v>519</v>
      </c>
      <c r="M521" s="10"/>
    </row>
    <row r="522" spans="12:13">
      <c r="L522" s="7">
        <v>520</v>
      </c>
      <c r="M522" s="10"/>
    </row>
    <row r="523" spans="12:13">
      <c r="L523" s="7">
        <v>521</v>
      </c>
      <c r="M523" s="10"/>
    </row>
    <row r="524" spans="12:13">
      <c r="L524" s="7">
        <v>522</v>
      </c>
      <c r="M524" s="10"/>
    </row>
    <row r="525" spans="12:13">
      <c r="L525" s="7">
        <v>523</v>
      </c>
      <c r="M525" s="10"/>
    </row>
    <row r="526" spans="12:13">
      <c r="L526" s="7">
        <v>524</v>
      </c>
      <c r="M526" s="10"/>
    </row>
    <row r="527" spans="12:13">
      <c r="L527" s="7">
        <v>525</v>
      </c>
      <c r="M527" s="10"/>
    </row>
    <row r="528" spans="12:13">
      <c r="L528" s="7">
        <v>526</v>
      </c>
      <c r="M528" s="10"/>
    </row>
    <row r="529" spans="12:13">
      <c r="L529" s="7">
        <v>527</v>
      </c>
      <c r="M529" s="10"/>
    </row>
    <row r="530" spans="12:13">
      <c r="L530" s="7">
        <v>528</v>
      </c>
      <c r="M530" s="10"/>
    </row>
    <row r="531" spans="12:13">
      <c r="L531" s="7">
        <v>529</v>
      </c>
      <c r="M531" s="10"/>
    </row>
    <row r="532" spans="12:13">
      <c r="L532" s="7">
        <v>530</v>
      </c>
      <c r="M532" s="10"/>
    </row>
    <row r="533" spans="12:13">
      <c r="L533" s="7">
        <v>531</v>
      </c>
      <c r="M533" s="10"/>
    </row>
    <row r="534" spans="12:13">
      <c r="L534" s="7">
        <v>532</v>
      </c>
      <c r="M534" s="10"/>
    </row>
    <row r="535" spans="12:13">
      <c r="L535" s="7">
        <v>533</v>
      </c>
      <c r="M535" s="10"/>
    </row>
    <row r="536" spans="12:13">
      <c r="L536" s="7">
        <v>534</v>
      </c>
      <c r="M536" s="10"/>
    </row>
    <row r="537" spans="12:13">
      <c r="L537" s="7">
        <v>535</v>
      </c>
      <c r="M537" s="10"/>
    </row>
    <row r="538" spans="12:13">
      <c r="L538" s="7">
        <v>536</v>
      </c>
      <c r="M538" s="10"/>
    </row>
    <row r="539" spans="12:13">
      <c r="L539" s="7">
        <v>537</v>
      </c>
      <c r="M539" s="10"/>
    </row>
    <row r="540" spans="12:13">
      <c r="L540" s="7">
        <v>538</v>
      </c>
      <c r="M540" s="10"/>
    </row>
    <row r="541" spans="12:13">
      <c r="L541" s="7">
        <v>539</v>
      </c>
      <c r="M541" s="10"/>
    </row>
    <row r="542" spans="12:13">
      <c r="L542" s="7">
        <v>540</v>
      </c>
      <c r="M542" s="10"/>
    </row>
    <row r="543" spans="12:13">
      <c r="L543" s="7">
        <v>541</v>
      </c>
      <c r="M543" s="10"/>
    </row>
    <row r="544" spans="12:13">
      <c r="L544" s="7">
        <v>542</v>
      </c>
      <c r="M544" s="10"/>
    </row>
    <row r="545" spans="12:13">
      <c r="L545" s="7">
        <v>543</v>
      </c>
      <c r="M545" s="10"/>
    </row>
    <row r="546" spans="12:13">
      <c r="L546" s="7">
        <v>544</v>
      </c>
      <c r="M546" s="10"/>
    </row>
    <row r="547" spans="12:13">
      <c r="L547" s="7">
        <v>545</v>
      </c>
      <c r="M547" s="10"/>
    </row>
    <row r="548" spans="12:13">
      <c r="L548" s="7">
        <v>546</v>
      </c>
      <c r="M548" s="10"/>
    </row>
    <row r="549" spans="12:13">
      <c r="L549" s="7">
        <v>547</v>
      </c>
      <c r="M549" s="10"/>
    </row>
    <row r="550" spans="12:13">
      <c r="L550" s="7">
        <v>548</v>
      </c>
      <c r="M550" s="10"/>
    </row>
    <row r="551" spans="12:13">
      <c r="L551" s="7">
        <v>549</v>
      </c>
      <c r="M551" s="10"/>
    </row>
    <row r="552" spans="12:13">
      <c r="L552" s="7">
        <v>550</v>
      </c>
      <c r="M552" s="10"/>
    </row>
    <row r="553" spans="12:13">
      <c r="L553" s="7">
        <v>551</v>
      </c>
      <c r="M553" s="10"/>
    </row>
    <row r="554" spans="12:13">
      <c r="L554" s="7">
        <v>552</v>
      </c>
      <c r="M554" s="10"/>
    </row>
    <row r="555" spans="12:13">
      <c r="L555" s="7">
        <v>553</v>
      </c>
      <c r="M555" s="10"/>
    </row>
    <row r="556" spans="12:13">
      <c r="L556" s="7">
        <v>554</v>
      </c>
      <c r="M556" s="10"/>
    </row>
    <row r="557" spans="12:13">
      <c r="L557" s="7">
        <v>555</v>
      </c>
      <c r="M557" s="10"/>
    </row>
    <row r="558" spans="12:13">
      <c r="L558" s="7">
        <v>556</v>
      </c>
      <c r="M558" s="10"/>
    </row>
    <row r="559" spans="12:13">
      <c r="L559" s="7">
        <v>557</v>
      </c>
      <c r="M559" s="10"/>
    </row>
    <row r="560" spans="12:13">
      <c r="L560" s="7">
        <v>558</v>
      </c>
      <c r="M560" s="10"/>
    </row>
    <row r="561" spans="12:31">
      <c r="L561" s="7">
        <v>559</v>
      </c>
      <c r="M561" s="10"/>
    </row>
    <row r="562" spans="12:31">
      <c r="L562" s="7">
        <v>560</v>
      </c>
      <c r="M562" s="10"/>
    </row>
    <row r="563" spans="12:31" s="9" customFormat="1">
      <c r="L563" s="7">
        <v>561</v>
      </c>
      <c r="M563" s="10"/>
      <c r="N563" s="7"/>
      <c r="O563"/>
      <c r="P563"/>
      <c r="S563" s="26"/>
      <c r="T563"/>
      <c r="U563"/>
      <c r="V563"/>
      <c r="X563" s="26"/>
      <c r="Z563" s="26"/>
      <c r="AD563" s="26"/>
      <c r="AE563" s="26"/>
    </row>
    <row r="564" spans="12:31">
      <c r="L564" s="7">
        <v>562</v>
      </c>
      <c r="M564" s="10"/>
    </row>
    <row r="565" spans="12:31">
      <c r="L565" s="7">
        <v>563</v>
      </c>
      <c r="M565" s="10"/>
    </row>
    <row r="566" spans="12:31">
      <c r="L566" s="7">
        <v>564</v>
      </c>
      <c r="M566" s="10"/>
    </row>
    <row r="567" spans="12:31">
      <c r="L567" s="7">
        <v>565</v>
      </c>
      <c r="M567" s="10"/>
    </row>
    <row r="568" spans="12:31">
      <c r="L568" s="7">
        <v>566</v>
      </c>
      <c r="M568" s="10"/>
    </row>
    <row r="569" spans="12:31">
      <c r="L569" s="7">
        <v>567</v>
      </c>
      <c r="M569" s="10"/>
    </row>
    <row r="570" spans="12:31">
      <c r="L570" s="7">
        <v>568</v>
      </c>
      <c r="M570" s="10"/>
    </row>
    <row r="571" spans="12:31">
      <c r="L571" s="7"/>
      <c r="M571" s="10"/>
    </row>
    <row r="572" spans="12:31">
      <c r="L572" s="7"/>
      <c r="M572" s="10"/>
    </row>
    <row r="573" spans="12:31">
      <c r="L573" s="7"/>
      <c r="M573" s="10"/>
    </row>
    <row r="574" spans="12:31">
      <c r="L574" s="7"/>
      <c r="M574" s="10"/>
    </row>
    <row r="575" spans="12:31">
      <c r="L575" s="7"/>
      <c r="M575" s="10"/>
    </row>
    <row r="576" spans="12:31">
      <c r="L576" s="7"/>
      <c r="M576" s="10"/>
    </row>
    <row r="577" spans="12:13">
      <c r="L577" s="7"/>
      <c r="M577" s="10"/>
    </row>
    <row r="578" spans="12:13">
      <c r="L578" s="7"/>
      <c r="M578" s="10"/>
    </row>
    <row r="579" spans="12:13">
      <c r="L579" s="7"/>
      <c r="M579" s="10"/>
    </row>
    <row r="580" spans="12:13">
      <c r="L580" s="7"/>
      <c r="M580" s="10"/>
    </row>
    <row r="581" spans="12:13">
      <c r="L581" s="7"/>
      <c r="M581" s="10"/>
    </row>
    <row r="582" spans="12:13">
      <c r="L582" s="7"/>
      <c r="M582" s="10"/>
    </row>
    <row r="583" spans="12:13">
      <c r="L583" s="7"/>
      <c r="M583" s="10"/>
    </row>
    <row r="584" spans="12:13">
      <c r="L584" s="7"/>
      <c r="M584" s="10"/>
    </row>
    <row r="585" spans="12:13">
      <c r="L585" s="7"/>
      <c r="M585" s="10"/>
    </row>
    <row r="586" spans="12:13">
      <c r="L586" s="7"/>
      <c r="M586" s="10"/>
    </row>
    <row r="587" spans="12:13">
      <c r="L587" s="7"/>
      <c r="M587" s="10"/>
    </row>
    <row r="588" spans="12:13">
      <c r="L588" s="7"/>
      <c r="M588" s="10"/>
    </row>
    <row r="589" spans="12:13">
      <c r="L589" s="7"/>
      <c r="M589" s="10"/>
    </row>
    <row r="590" spans="12:13">
      <c r="L590" s="7"/>
      <c r="M590" s="10"/>
    </row>
    <row r="591" spans="12:13">
      <c r="L591" s="7"/>
      <c r="M591" s="10"/>
    </row>
    <row r="592" spans="12:13">
      <c r="L592" s="7"/>
      <c r="M592" s="10"/>
    </row>
    <row r="593" spans="12:13">
      <c r="L593" s="7"/>
      <c r="M593" s="10"/>
    </row>
    <row r="594" spans="12:13">
      <c r="L594" s="7"/>
      <c r="M594" s="10"/>
    </row>
    <row r="595" spans="12:13">
      <c r="L595" s="7"/>
      <c r="M595" s="10"/>
    </row>
    <row r="596" spans="12:13">
      <c r="L596" s="7"/>
      <c r="M596" s="10"/>
    </row>
    <row r="597" spans="12:13">
      <c r="L597" s="7"/>
      <c r="M597" s="10"/>
    </row>
    <row r="598" spans="12:13">
      <c r="L598" s="7"/>
      <c r="M598" s="10"/>
    </row>
    <row r="599" spans="12:13">
      <c r="L599" s="7"/>
      <c r="M599" s="10"/>
    </row>
    <row r="600" spans="12:13">
      <c r="L600" s="7"/>
      <c r="M600" s="10"/>
    </row>
    <row r="601" spans="12:13">
      <c r="L601" s="7"/>
      <c r="M601" s="10"/>
    </row>
    <row r="602" spans="12:13">
      <c r="L602" s="7"/>
      <c r="M602" s="10"/>
    </row>
    <row r="603" spans="12:13">
      <c r="L603" s="7"/>
      <c r="M603" s="10"/>
    </row>
    <row r="604" spans="12:13">
      <c r="L604" s="7"/>
      <c r="M604" s="10"/>
    </row>
    <row r="605" spans="12:13">
      <c r="L605" s="7"/>
      <c r="M605" s="10"/>
    </row>
    <row r="606" spans="12:13">
      <c r="L606" s="7">
        <v>1</v>
      </c>
      <c r="M606" s="10"/>
    </row>
    <row r="607" spans="12:13">
      <c r="L607" s="7"/>
      <c r="M607" s="10"/>
    </row>
    <row r="608" spans="12:13">
      <c r="L608" s="7" t="e">
        <f>ROWS(#REF!)</f>
        <v>#REF!</v>
      </c>
      <c r="M608" s="10"/>
    </row>
    <row r="609" spans="12:13">
      <c r="L609" s="7" t="e">
        <f>ROWS(#REF!)</f>
        <v>#REF!</v>
      </c>
      <c r="M609" s="10"/>
    </row>
    <row r="610" spans="12:13">
      <c r="L610" s="7" t="e">
        <f>ROWS(#REF!)</f>
        <v>#REF!</v>
      </c>
      <c r="M610" s="10"/>
    </row>
    <row r="611" spans="12:13">
      <c r="L611" s="7" t="e">
        <f>ROWS(#REF!)</f>
        <v>#REF!</v>
      </c>
      <c r="M611" s="10"/>
    </row>
    <row r="612" spans="12:13">
      <c r="L612" s="7" t="e">
        <f>ROWS(#REF!)</f>
        <v>#REF!</v>
      </c>
      <c r="M612" s="10"/>
    </row>
    <row r="613" spans="12:13">
      <c r="L613" s="7"/>
      <c r="M613" s="10"/>
    </row>
    <row r="614" spans="12:13">
      <c r="L614" s="7" t="e">
        <f>ROWS(#REF!)</f>
        <v>#REF!</v>
      </c>
      <c r="M614" s="10"/>
    </row>
    <row r="615" spans="12:13">
      <c r="L615" s="7" t="e">
        <f>ROWS(#REF!)</f>
        <v>#REF!</v>
      </c>
      <c r="M615" s="10"/>
    </row>
    <row r="616" spans="12:13">
      <c r="L616" s="7" t="e">
        <f>ROWS(#REF!)</f>
        <v>#REF!</v>
      </c>
      <c r="M616" s="10"/>
    </row>
    <row r="617" spans="12:13">
      <c r="L617" s="7" t="e">
        <f>ROWS(#REF!)</f>
        <v>#REF!</v>
      </c>
      <c r="M617" s="10"/>
    </row>
    <row r="618" spans="12:13">
      <c r="L618" s="7" t="e">
        <f>ROWS(#REF!)</f>
        <v>#REF!</v>
      </c>
      <c r="M618" s="10"/>
    </row>
    <row r="619" spans="12:13">
      <c r="L619" s="7" t="e">
        <f>ROWS(#REF!)</f>
        <v>#REF!</v>
      </c>
      <c r="M619" s="10"/>
    </row>
    <row r="620" spans="12:13">
      <c r="L620" s="7" t="e">
        <f>ROWS(#REF!)</f>
        <v>#REF!</v>
      </c>
      <c r="M620" s="10"/>
    </row>
    <row r="621" spans="12:13">
      <c r="L621" s="7" t="e">
        <f>ROWS(#REF!)</f>
        <v>#REF!</v>
      </c>
      <c r="M621" s="10"/>
    </row>
    <row r="622" spans="12:13">
      <c r="L622" s="7" t="e">
        <f>ROWS(#REF!)</f>
        <v>#REF!</v>
      </c>
      <c r="M622" s="10"/>
    </row>
    <row r="623" spans="12:13">
      <c r="L623" s="7" t="e">
        <f>ROWS(#REF!)</f>
        <v>#REF!</v>
      </c>
      <c r="M623" s="10"/>
    </row>
    <row r="624" spans="12:13">
      <c r="L624" s="7" t="e">
        <f>ROWS(#REF!)</f>
        <v>#REF!</v>
      </c>
      <c r="M624" s="10"/>
    </row>
    <row r="625" spans="12:13">
      <c r="L625" s="7" t="e">
        <f>ROWS(#REF!)</f>
        <v>#REF!</v>
      </c>
      <c r="M625" s="10"/>
    </row>
    <row r="626" spans="12:13">
      <c r="L626" s="7" t="e">
        <f>ROWS(#REF!)</f>
        <v>#REF!</v>
      </c>
      <c r="M626" s="10"/>
    </row>
    <row r="627" spans="12:13">
      <c r="L627" s="7" t="e">
        <f>ROWS(#REF!)</f>
        <v>#REF!</v>
      </c>
      <c r="M627" s="10"/>
    </row>
    <row r="628" spans="12:13">
      <c r="L628" s="7" t="e">
        <f>ROWS(#REF!)</f>
        <v>#REF!</v>
      </c>
      <c r="M628" s="10"/>
    </row>
    <row r="629" spans="12:13">
      <c r="L629" s="7" t="e">
        <f>ROWS(#REF!)</f>
        <v>#REF!</v>
      </c>
      <c r="M629" s="10"/>
    </row>
    <row r="630" spans="12:13">
      <c r="L630" s="7" t="e">
        <f>ROWS(#REF!)</f>
        <v>#REF!</v>
      </c>
      <c r="M630" s="10"/>
    </row>
    <row r="631" spans="12:13">
      <c r="L631" s="7" t="e">
        <f>ROWS(#REF!)</f>
        <v>#REF!</v>
      </c>
      <c r="M631" s="10"/>
    </row>
    <row r="632" spans="12:13">
      <c r="L632" s="7" t="e">
        <f>ROWS(#REF!)</f>
        <v>#REF!</v>
      </c>
      <c r="M632" s="10"/>
    </row>
    <row r="633" spans="12:13">
      <c r="L633" s="7" t="e">
        <f>ROWS(#REF!)</f>
        <v>#REF!</v>
      </c>
      <c r="M633" s="10"/>
    </row>
    <row r="634" spans="12:13">
      <c r="L634" s="7" t="e">
        <f>ROWS(#REF!)</f>
        <v>#REF!</v>
      </c>
      <c r="M634" s="10"/>
    </row>
    <row r="635" spans="12:13">
      <c r="L635" s="7" t="e">
        <f>ROWS(#REF!)</f>
        <v>#REF!</v>
      </c>
      <c r="M635" s="10"/>
    </row>
    <row r="636" spans="12:13">
      <c r="L636" s="7" t="e">
        <f>ROWS(#REF!)</f>
        <v>#REF!</v>
      </c>
      <c r="M636" s="10"/>
    </row>
    <row r="637" spans="12:13">
      <c r="L637" s="7" t="e">
        <f>ROWS(#REF!)</f>
        <v>#REF!</v>
      </c>
      <c r="M637" s="10"/>
    </row>
    <row r="638" spans="12:13">
      <c r="L638" s="7" t="e">
        <f>ROWS(#REF!)</f>
        <v>#REF!</v>
      </c>
      <c r="M638" s="10"/>
    </row>
    <row r="639" spans="12:13">
      <c r="L639" s="7" t="e">
        <f>ROWS(#REF!)</f>
        <v>#REF!</v>
      </c>
      <c r="M639" s="10"/>
    </row>
    <row r="640" spans="12:13">
      <c r="L640" s="7" t="e">
        <f>ROWS(#REF!)</f>
        <v>#REF!</v>
      </c>
      <c r="M640" s="10"/>
    </row>
    <row r="641" spans="12:13">
      <c r="L641" s="7" t="e">
        <f>ROWS(#REF!)</f>
        <v>#REF!</v>
      </c>
      <c r="M641" s="10"/>
    </row>
    <row r="642" spans="12:13">
      <c r="L642" s="7" t="e">
        <f>ROWS(#REF!)</f>
        <v>#REF!</v>
      </c>
      <c r="M642" s="10"/>
    </row>
    <row r="643" spans="12:13">
      <c r="L643" s="7" t="e">
        <f>ROWS(#REF!)</f>
        <v>#REF!</v>
      </c>
      <c r="M643" s="10"/>
    </row>
    <row r="644" spans="12:13">
      <c r="L644" s="7" t="e">
        <f>ROWS(#REF!)</f>
        <v>#REF!</v>
      </c>
      <c r="M644" s="10"/>
    </row>
    <row r="645" spans="12:13">
      <c r="L645" s="7" t="e">
        <f>ROWS(#REF!)</f>
        <v>#REF!</v>
      </c>
      <c r="M645" s="10"/>
    </row>
    <row r="646" spans="12:13">
      <c r="L646" s="7" t="e">
        <f>ROWS(#REF!)</f>
        <v>#REF!</v>
      </c>
      <c r="M646" s="10"/>
    </row>
    <row r="647" spans="12:13">
      <c r="L647" s="7" t="e">
        <f>ROWS(#REF!)</f>
        <v>#REF!</v>
      </c>
      <c r="M647" s="10"/>
    </row>
    <row r="648" spans="12:13">
      <c r="L648" s="7" t="e">
        <f>ROWS(#REF!)</f>
        <v>#REF!</v>
      </c>
      <c r="M648" s="10"/>
    </row>
    <row r="649" spans="12:13">
      <c r="L649" s="7" t="e">
        <f>ROWS(#REF!)</f>
        <v>#REF!</v>
      </c>
      <c r="M649" s="10"/>
    </row>
    <row r="650" spans="12:13">
      <c r="L650" s="7" t="e">
        <f>ROWS(#REF!)</f>
        <v>#REF!</v>
      </c>
      <c r="M650" s="10"/>
    </row>
    <row r="651" spans="12:13">
      <c r="L651" s="7" t="e">
        <f>ROWS(#REF!)</f>
        <v>#REF!</v>
      </c>
      <c r="M651" s="10"/>
    </row>
    <row r="652" spans="12:13">
      <c r="L652" s="7" t="e">
        <f>ROWS(#REF!)</f>
        <v>#REF!</v>
      </c>
      <c r="M652" s="10"/>
    </row>
    <row r="653" spans="12:13">
      <c r="L653" s="7" t="e">
        <f>ROWS(#REF!)</f>
        <v>#REF!</v>
      </c>
      <c r="M653" s="10"/>
    </row>
    <row r="654" spans="12:13">
      <c r="L654" s="7" t="e">
        <f>ROWS(#REF!)</f>
        <v>#REF!</v>
      </c>
      <c r="M654" s="10"/>
    </row>
    <row r="655" spans="12:13">
      <c r="L655" s="7" t="e">
        <f>ROWS(#REF!)</f>
        <v>#REF!</v>
      </c>
      <c r="M655" s="10"/>
    </row>
    <row r="656" spans="12:13">
      <c r="L656" s="7" t="e">
        <f>ROWS(#REF!)</f>
        <v>#REF!</v>
      </c>
      <c r="M656" s="10"/>
    </row>
    <row r="657" spans="12:13">
      <c r="L657" s="7" t="e">
        <f>ROWS(#REF!)</f>
        <v>#REF!</v>
      </c>
      <c r="M657" s="10"/>
    </row>
    <row r="658" spans="12:13">
      <c r="L658" s="7" t="e">
        <f>ROWS(#REF!)</f>
        <v>#REF!</v>
      </c>
      <c r="M658" s="10"/>
    </row>
    <row r="659" spans="12:13">
      <c r="L659" s="7" t="e">
        <f>ROWS(#REF!)</f>
        <v>#REF!</v>
      </c>
      <c r="M659" s="10"/>
    </row>
    <row r="660" spans="12:13">
      <c r="L660" s="7" t="e">
        <f>ROWS(#REF!)</f>
        <v>#REF!</v>
      </c>
      <c r="M660" s="10"/>
    </row>
    <row r="661" spans="12:13">
      <c r="L661" s="7" t="e">
        <f>ROWS(#REF!)</f>
        <v>#REF!</v>
      </c>
      <c r="M661" s="10"/>
    </row>
    <row r="662" spans="12:13">
      <c r="L662" s="7" t="e">
        <f>ROWS(#REF!)</f>
        <v>#REF!</v>
      </c>
      <c r="M662" s="10"/>
    </row>
    <row r="663" spans="12:13">
      <c r="L663" s="7" t="e">
        <f>ROWS(#REF!)</f>
        <v>#REF!</v>
      </c>
      <c r="M663" s="10"/>
    </row>
    <row r="664" spans="12:13">
      <c r="L664" s="7" t="e">
        <f>ROWS(#REF!)</f>
        <v>#REF!</v>
      </c>
      <c r="M664" s="10"/>
    </row>
    <row r="665" spans="12:13">
      <c r="L665" s="7" t="e">
        <f>ROWS(#REF!)</f>
        <v>#REF!</v>
      </c>
      <c r="M665" s="10"/>
    </row>
    <row r="666" spans="12:13">
      <c r="L666" s="7" t="e">
        <f>ROWS(#REF!)</f>
        <v>#REF!</v>
      </c>
      <c r="M666" s="10"/>
    </row>
    <row r="667" spans="12:13">
      <c r="L667" s="7" t="e">
        <f>ROWS(#REF!)</f>
        <v>#REF!</v>
      </c>
      <c r="M667" s="10"/>
    </row>
    <row r="668" spans="12:13">
      <c r="L668" s="7" t="e">
        <f>ROWS(#REF!)</f>
        <v>#REF!</v>
      </c>
      <c r="M668" s="10"/>
    </row>
    <row r="669" spans="12:13">
      <c r="L669" s="7" t="e">
        <f>ROWS(#REF!)</f>
        <v>#REF!</v>
      </c>
      <c r="M669" s="10"/>
    </row>
    <row r="670" spans="12:13">
      <c r="L670" s="7" t="e">
        <f>ROWS(#REF!)</f>
        <v>#REF!</v>
      </c>
      <c r="M670" s="10"/>
    </row>
    <row r="671" spans="12:13">
      <c r="L671" s="7" t="e">
        <f>ROWS(#REF!)</f>
        <v>#REF!</v>
      </c>
      <c r="M671" s="10"/>
    </row>
    <row r="672" spans="12:13">
      <c r="L672" s="7" t="e">
        <f>ROWS(#REF!)</f>
        <v>#REF!</v>
      </c>
      <c r="M672" s="10"/>
    </row>
    <row r="673" spans="12:13">
      <c r="L673" s="7" t="e">
        <f>ROWS(#REF!)</f>
        <v>#REF!</v>
      </c>
      <c r="M673" s="10"/>
    </row>
    <row r="674" spans="12:13">
      <c r="L674" s="7" t="e">
        <f>ROWS(#REF!)</f>
        <v>#REF!</v>
      </c>
      <c r="M674" s="10"/>
    </row>
    <row r="675" spans="12:13">
      <c r="L675" s="7" t="e">
        <f>ROWS(#REF!)</f>
        <v>#REF!</v>
      </c>
      <c r="M675" s="10"/>
    </row>
    <row r="676" spans="12:13">
      <c r="L676" s="7" t="e">
        <f>ROWS(#REF!)</f>
        <v>#REF!</v>
      </c>
      <c r="M676" s="10"/>
    </row>
    <row r="677" spans="12:13">
      <c r="L677" s="7" t="e">
        <f>ROWS(#REF!)</f>
        <v>#REF!</v>
      </c>
      <c r="M677" s="10"/>
    </row>
    <row r="678" spans="12:13">
      <c r="L678" s="7" t="e">
        <f>ROWS(#REF!)</f>
        <v>#REF!</v>
      </c>
      <c r="M678" s="10"/>
    </row>
    <row r="679" spans="12:13">
      <c r="L679" s="7" t="e">
        <f>ROWS(#REF!)</f>
        <v>#REF!</v>
      </c>
      <c r="M679" s="10"/>
    </row>
    <row r="680" spans="12:13">
      <c r="L680" s="7" t="e">
        <f>ROWS(#REF!)</f>
        <v>#REF!</v>
      </c>
      <c r="M680" s="10"/>
    </row>
    <row r="681" spans="12:13">
      <c r="L681" s="7" t="e">
        <f>ROWS(#REF!)</f>
        <v>#REF!</v>
      </c>
      <c r="M681" s="10"/>
    </row>
    <row r="682" spans="12:13">
      <c r="L682" s="7" t="e">
        <f>ROWS(#REF!)</f>
        <v>#REF!</v>
      </c>
      <c r="M682" s="10"/>
    </row>
    <row r="683" spans="12:13">
      <c r="L683" s="7" t="e">
        <f>ROWS(#REF!)</f>
        <v>#REF!</v>
      </c>
      <c r="M683" s="10"/>
    </row>
    <row r="684" spans="12:13">
      <c r="L684" s="7" t="e">
        <f>ROWS(#REF!)</f>
        <v>#REF!</v>
      </c>
      <c r="M684" s="10"/>
    </row>
    <row r="685" spans="12:13">
      <c r="L685" s="7" t="e">
        <f>ROWS(#REF!)</f>
        <v>#REF!</v>
      </c>
      <c r="M685" s="10"/>
    </row>
    <row r="686" spans="12:13">
      <c r="L686" s="7" t="e">
        <f>ROWS(#REF!)</f>
        <v>#REF!</v>
      </c>
      <c r="M686" s="10"/>
    </row>
    <row r="687" spans="12:13">
      <c r="L687" s="7" t="e">
        <f>ROWS(#REF!)</f>
        <v>#REF!</v>
      </c>
      <c r="M687" s="10"/>
    </row>
    <row r="688" spans="12:13">
      <c r="L688" s="7" t="e">
        <f>ROWS(#REF!)</f>
        <v>#REF!</v>
      </c>
      <c r="M688" s="10"/>
    </row>
    <row r="689" spans="12:13">
      <c r="L689" s="7" t="e">
        <f>ROWS(#REF!)</f>
        <v>#REF!</v>
      </c>
      <c r="M689" s="10"/>
    </row>
    <row r="690" spans="12:13">
      <c r="L690" s="7" t="e">
        <f>ROWS(#REF!)</f>
        <v>#REF!</v>
      </c>
      <c r="M690" s="10"/>
    </row>
    <row r="691" spans="12:13">
      <c r="L691" s="7" t="e">
        <f>ROWS(#REF!)</f>
        <v>#REF!</v>
      </c>
      <c r="M691" s="10"/>
    </row>
    <row r="692" spans="12:13">
      <c r="L692" s="7" t="e">
        <f>ROWS(#REF!)</f>
        <v>#REF!</v>
      </c>
      <c r="M692" s="10"/>
    </row>
    <row r="693" spans="12:13">
      <c r="L693" s="7" t="e">
        <f>ROWS(#REF!)</f>
        <v>#REF!</v>
      </c>
      <c r="M693" s="10"/>
    </row>
    <row r="694" spans="12:13">
      <c r="L694" s="7" t="e">
        <f>ROWS(#REF!)</f>
        <v>#REF!</v>
      </c>
      <c r="M694" s="10"/>
    </row>
    <row r="695" spans="12:13">
      <c r="L695" s="7" t="e">
        <f>ROWS(#REF!)</f>
        <v>#REF!</v>
      </c>
      <c r="M695" s="10"/>
    </row>
    <row r="696" spans="12:13">
      <c r="L696" s="7" t="e">
        <f>ROWS(#REF!)</f>
        <v>#REF!</v>
      </c>
      <c r="M696" s="10"/>
    </row>
    <row r="697" spans="12:13">
      <c r="L697" s="7" t="e">
        <f>ROWS(#REF!)</f>
        <v>#REF!</v>
      </c>
      <c r="M697" s="10"/>
    </row>
    <row r="698" spans="12:13">
      <c r="L698" s="7" t="e">
        <f>ROWS(#REF!)</f>
        <v>#REF!</v>
      </c>
      <c r="M698" s="10"/>
    </row>
    <row r="699" spans="12:13">
      <c r="L699" s="7" t="e">
        <f>ROWS(#REF!)</f>
        <v>#REF!</v>
      </c>
      <c r="M699" s="10"/>
    </row>
    <row r="700" spans="12:13">
      <c r="L700" s="7" t="e">
        <f>ROWS(#REF!)</f>
        <v>#REF!</v>
      </c>
      <c r="M700" s="10"/>
    </row>
    <row r="701" spans="12:13">
      <c r="L701" s="7" t="e">
        <f>ROWS(#REF!)</f>
        <v>#REF!</v>
      </c>
      <c r="M701" s="10"/>
    </row>
    <row r="702" spans="12:13">
      <c r="L702" s="7" t="e">
        <f>ROWS(#REF!)</f>
        <v>#REF!</v>
      </c>
      <c r="M702" s="10"/>
    </row>
    <row r="703" spans="12:13">
      <c r="L703" s="7" t="e">
        <f>ROWS(#REF!)</f>
        <v>#REF!</v>
      </c>
      <c r="M703" s="10"/>
    </row>
    <row r="704" spans="12:13">
      <c r="L704" s="7" t="e">
        <f>ROWS(#REF!)</f>
        <v>#REF!</v>
      </c>
      <c r="M704" s="10"/>
    </row>
    <row r="705" spans="12:13">
      <c r="L705" s="7" t="e">
        <f>ROWS(#REF!)</f>
        <v>#REF!</v>
      </c>
      <c r="M705" s="10"/>
    </row>
    <row r="706" spans="12:13">
      <c r="L706" s="7" t="e">
        <f>ROWS(#REF!)</f>
        <v>#REF!</v>
      </c>
      <c r="M706" s="10"/>
    </row>
    <row r="707" spans="12:13">
      <c r="L707" s="7" t="e">
        <f>ROWS(#REF!)</f>
        <v>#REF!</v>
      </c>
      <c r="M707" s="10"/>
    </row>
    <row r="708" spans="12:13">
      <c r="L708" s="7" t="e">
        <f>ROWS(#REF!)</f>
        <v>#REF!</v>
      </c>
      <c r="M708" s="10"/>
    </row>
    <row r="709" spans="12:13">
      <c r="L709" s="7" t="e">
        <f>ROWS(#REF!)</f>
        <v>#REF!</v>
      </c>
      <c r="M709" s="10"/>
    </row>
    <row r="710" spans="12:13">
      <c r="L710" s="7" t="e">
        <f>ROWS(#REF!)</f>
        <v>#REF!</v>
      </c>
      <c r="M710" s="10"/>
    </row>
    <row r="711" spans="12:13">
      <c r="L711" s="7" t="e">
        <f>ROWS(#REF!)</f>
        <v>#REF!</v>
      </c>
      <c r="M711" s="10"/>
    </row>
    <row r="712" spans="12:13">
      <c r="L712" s="7" t="e">
        <f>ROWS(#REF!)</f>
        <v>#REF!</v>
      </c>
      <c r="M712" s="10"/>
    </row>
    <row r="713" spans="12:13">
      <c r="L713" s="7" t="e">
        <f>ROWS(#REF!)</f>
        <v>#REF!</v>
      </c>
      <c r="M713" s="10"/>
    </row>
    <row r="714" spans="12:13">
      <c r="L714" s="7" t="e">
        <f>ROWS(#REF!)</f>
        <v>#REF!</v>
      </c>
      <c r="M714" s="10"/>
    </row>
    <row r="715" spans="12:13">
      <c r="L715" s="7" t="e">
        <f>ROWS(#REF!)</f>
        <v>#REF!</v>
      </c>
      <c r="M715" s="10"/>
    </row>
    <row r="716" spans="12:13">
      <c r="L716" s="7" t="e">
        <f>ROWS(#REF!)</f>
        <v>#REF!</v>
      </c>
      <c r="M716" s="10"/>
    </row>
    <row r="717" spans="12:13">
      <c r="L717" s="7" t="e">
        <f>ROWS(#REF!)</f>
        <v>#REF!</v>
      </c>
      <c r="M717" s="10"/>
    </row>
    <row r="718" spans="12:13">
      <c r="L718" s="7" t="e">
        <f>ROWS(#REF!)</f>
        <v>#REF!</v>
      </c>
      <c r="M718" s="10"/>
    </row>
    <row r="719" spans="12:13">
      <c r="L719" s="7" t="e">
        <f>ROWS(#REF!)</f>
        <v>#REF!</v>
      </c>
      <c r="M719" s="10"/>
    </row>
    <row r="720" spans="12:13">
      <c r="L720" s="7" t="e">
        <f>ROWS(#REF!)</f>
        <v>#REF!</v>
      </c>
      <c r="M720" s="10"/>
    </row>
    <row r="721" spans="12:13">
      <c r="L721" s="7" t="e">
        <f>ROWS(#REF!)</f>
        <v>#REF!</v>
      </c>
      <c r="M721" s="10"/>
    </row>
    <row r="722" spans="12:13">
      <c r="L722" s="7" t="e">
        <f>ROWS(#REF!)</f>
        <v>#REF!</v>
      </c>
      <c r="M722" s="10"/>
    </row>
    <row r="723" spans="12:13">
      <c r="L723" s="7" t="e">
        <f>ROWS(#REF!)</f>
        <v>#REF!</v>
      </c>
      <c r="M723" s="10"/>
    </row>
    <row r="724" spans="12:13">
      <c r="L724" s="7" t="e">
        <f>ROWS(#REF!)</f>
        <v>#REF!</v>
      </c>
      <c r="M724" s="10"/>
    </row>
    <row r="725" spans="12:13">
      <c r="L725" s="7" t="e">
        <f>ROWS(#REF!)</f>
        <v>#REF!</v>
      </c>
      <c r="M725" s="10"/>
    </row>
    <row r="726" spans="12:13">
      <c r="L726" s="7" t="e">
        <f>ROWS(#REF!)</f>
        <v>#REF!</v>
      </c>
      <c r="M726" s="10"/>
    </row>
    <row r="727" spans="12:13">
      <c r="L727" s="7" t="e">
        <f>ROWS(#REF!)</f>
        <v>#REF!</v>
      </c>
      <c r="M727" s="10"/>
    </row>
    <row r="728" spans="12:13">
      <c r="L728" s="7" t="e">
        <f>ROWS(#REF!)</f>
        <v>#REF!</v>
      </c>
      <c r="M728" s="10"/>
    </row>
    <row r="729" spans="12:13">
      <c r="L729" s="7" t="e">
        <f>ROWS(#REF!)</f>
        <v>#REF!</v>
      </c>
      <c r="M729" s="10"/>
    </row>
    <row r="730" spans="12:13">
      <c r="L730" s="7" t="e">
        <f>ROWS(#REF!)</f>
        <v>#REF!</v>
      </c>
      <c r="M730" s="10"/>
    </row>
    <row r="731" spans="12:13">
      <c r="L731" s="7" t="e">
        <f>ROWS(#REF!)</f>
        <v>#REF!</v>
      </c>
      <c r="M731" s="10"/>
    </row>
    <row r="732" spans="12:13">
      <c r="L732" s="7" t="e">
        <f>ROWS(#REF!)</f>
        <v>#REF!</v>
      </c>
      <c r="M732" s="10"/>
    </row>
    <row r="733" spans="12:13">
      <c r="L733" s="7" t="e">
        <f>ROWS(#REF!)</f>
        <v>#REF!</v>
      </c>
      <c r="M733" s="10"/>
    </row>
    <row r="734" spans="12:13">
      <c r="L734" s="7" t="e">
        <f>ROWS(#REF!)</f>
        <v>#REF!</v>
      </c>
      <c r="M734" s="10"/>
    </row>
    <row r="735" spans="12:13">
      <c r="L735" s="7" t="e">
        <f>ROWS(#REF!)</f>
        <v>#REF!</v>
      </c>
      <c r="M735" s="10"/>
    </row>
    <row r="736" spans="12:13">
      <c r="L736" s="7" t="e">
        <f>ROWS(#REF!)</f>
        <v>#REF!</v>
      </c>
      <c r="M736" s="10"/>
    </row>
    <row r="737" spans="12:13">
      <c r="L737" s="7" t="e">
        <f>ROWS(#REF!)</f>
        <v>#REF!</v>
      </c>
      <c r="M737" s="10"/>
    </row>
    <row r="738" spans="12:13">
      <c r="L738" s="7" t="e">
        <f>ROWS(#REF!)</f>
        <v>#REF!</v>
      </c>
      <c r="M738" s="10"/>
    </row>
    <row r="739" spans="12:13">
      <c r="L739" s="7" t="e">
        <f>ROWS(#REF!)</f>
        <v>#REF!</v>
      </c>
      <c r="M739" s="10"/>
    </row>
    <row r="740" spans="12:13">
      <c r="L740" s="7" t="e">
        <f>ROWS(#REF!)</f>
        <v>#REF!</v>
      </c>
      <c r="M740" s="10"/>
    </row>
    <row r="741" spans="12:13">
      <c r="L741" s="7" t="e">
        <f>ROWS(#REF!)</f>
        <v>#REF!</v>
      </c>
      <c r="M741" s="10"/>
    </row>
    <row r="742" spans="12:13">
      <c r="L742" s="7" t="e">
        <f>ROWS(#REF!)</f>
        <v>#REF!</v>
      </c>
      <c r="M742" s="10"/>
    </row>
    <row r="743" spans="12:13">
      <c r="L743" s="7" t="e">
        <f>ROWS(#REF!)</f>
        <v>#REF!</v>
      </c>
      <c r="M743" s="10"/>
    </row>
    <row r="744" spans="12:13">
      <c r="L744" s="7" t="e">
        <f>ROWS(#REF!)</f>
        <v>#REF!</v>
      </c>
      <c r="M744" s="10"/>
    </row>
    <row r="745" spans="12:13">
      <c r="L745" s="7" t="e">
        <f>ROWS(#REF!)</f>
        <v>#REF!</v>
      </c>
      <c r="M745" s="10"/>
    </row>
    <row r="746" spans="12:13">
      <c r="L746" s="7" t="e">
        <f>ROWS(#REF!)</f>
        <v>#REF!</v>
      </c>
      <c r="M746" s="10"/>
    </row>
    <row r="747" spans="12:13">
      <c r="L747" s="7" t="e">
        <f>ROWS(#REF!)</f>
        <v>#REF!</v>
      </c>
      <c r="M747" s="10"/>
    </row>
    <row r="748" spans="12:13">
      <c r="L748" s="7" t="e">
        <f>ROWS(#REF!)</f>
        <v>#REF!</v>
      </c>
      <c r="M748" s="10"/>
    </row>
    <row r="749" spans="12:13">
      <c r="L749" s="7" t="e">
        <f>ROWS(#REF!)</f>
        <v>#REF!</v>
      </c>
      <c r="M749" s="10"/>
    </row>
    <row r="750" spans="12:13">
      <c r="L750" s="7" t="e">
        <f>ROWS(#REF!)</f>
        <v>#REF!</v>
      </c>
      <c r="M750" s="10"/>
    </row>
    <row r="751" spans="12:13">
      <c r="L751" s="7" t="e">
        <f>ROWS(#REF!)</f>
        <v>#REF!</v>
      </c>
      <c r="M751" s="10"/>
    </row>
    <row r="752" spans="12:13">
      <c r="L752" s="7" t="e">
        <f>ROWS(#REF!)</f>
        <v>#REF!</v>
      </c>
      <c r="M752" s="10"/>
    </row>
    <row r="753" spans="12:13">
      <c r="L753" s="7" t="e">
        <f>ROWS(#REF!)</f>
        <v>#REF!</v>
      </c>
      <c r="M753" s="10"/>
    </row>
    <row r="754" spans="12:13">
      <c r="L754" s="7" t="e">
        <f>ROWS(#REF!)</f>
        <v>#REF!</v>
      </c>
      <c r="M754" s="10"/>
    </row>
    <row r="755" spans="12:13">
      <c r="L755" s="7" t="e">
        <f>ROWS(#REF!)</f>
        <v>#REF!</v>
      </c>
      <c r="M755" s="10"/>
    </row>
    <row r="756" spans="12:13">
      <c r="L756" s="7" t="e">
        <f>ROWS(#REF!)</f>
        <v>#REF!</v>
      </c>
      <c r="M756" s="10"/>
    </row>
    <row r="757" spans="12:13">
      <c r="L757" s="7" t="e">
        <f>ROWS(#REF!)</f>
        <v>#REF!</v>
      </c>
      <c r="M757" s="10"/>
    </row>
    <row r="758" spans="12:13">
      <c r="L758" s="7" t="e">
        <f>ROWS(#REF!)</f>
        <v>#REF!</v>
      </c>
      <c r="M758" s="10"/>
    </row>
    <row r="759" spans="12:13">
      <c r="L759" s="7" t="e">
        <f>ROWS(#REF!)</f>
        <v>#REF!</v>
      </c>
      <c r="M759" s="10"/>
    </row>
    <row r="760" spans="12:13">
      <c r="L760" s="7" t="e">
        <f>ROWS(#REF!)</f>
        <v>#REF!</v>
      </c>
      <c r="M760" s="10"/>
    </row>
    <row r="761" spans="12:13">
      <c r="L761" s="7" t="e">
        <f>ROWS(#REF!)</f>
        <v>#REF!</v>
      </c>
      <c r="M761" s="10"/>
    </row>
    <row r="762" spans="12:13">
      <c r="L762" s="7" t="e">
        <f>ROWS(#REF!)</f>
        <v>#REF!</v>
      </c>
      <c r="M762" s="10"/>
    </row>
    <row r="763" spans="12:13">
      <c r="L763" s="7" t="e">
        <f>ROWS(#REF!)</f>
        <v>#REF!</v>
      </c>
      <c r="M763" s="10"/>
    </row>
    <row r="764" spans="12:13">
      <c r="L764" s="7" t="e">
        <f>ROWS(#REF!)</f>
        <v>#REF!</v>
      </c>
      <c r="M764" s="10"/>
    </row>
    <row r="765" spans="12:13">
      <c r="L765" s="7" t="e">
        <f>ROWS(#REF!)</f>
        <v>#REF!</v>
      </c>
      <c r="M765" s="10"/>
    </row>
    <row r="766" spans="12:13">
      <c r="L766" s="7" t="e">
        <f>ROWS(#REF!)</f>
        <v>#REF!</v>
      </c>
      <c r="M766" s="10"/>
    </row>
    <row r="767" spans="12:13">
      <c r="L767" s="7" t="e">
        <f>ROWS(#REF!)</f>
        <v>#REF!</v>
      </c>
      <c r="M767" s="10"/>
    </row>
    <row r="768" spans="12:13">
      <c r="L768" s="7" t="e">
        <f>ROWS(#REF!)</f>
        <v>#REF!</v>
      </c>
      <c r="M768" s="10"/>
    </row>
    <row r="769" spans="12:13">
      <c r="L769" s="7" t="e">
        <f>ROWS(#REF!)</f>
        <v>#REF!</v>
      </c>
      <c r="M769" s="10"/>
    </row>
    <row r="770" spans="12:13">
      <c r="L770" s="7" t="e">
        <f>ROWS(#REF!)</f>
        <v>#REF!</v>
      </c>
      <c r="M770" s="10"/>
    </row>
    <row r="771" spans="12:13">
      <c r="L771" s="7" t="e">
        <f>ROWS(#REF!)</f>
        <v>#REF!</v>
      </c>
      <c r="M771" s="10"/>
    </row>
    <row r="772" spans="12:13">
      <c r="L772" s="7" t="e">
        <f>ROWS(#REF!)</f>
        <v>#REF!</v>
      </c>
      <c r="M772" s="10"/>
    </row>
    <row r="773" spans="12:13">
      <c r="L773" s="7" t="e">
        <f>ROWS(#REF!)</f>
        <v>#REF!</v>
      </c>
      <c r="M773" s="10"/>
    </row>
    <row r="774" spans="12:13">
      <c r="L774" s="7" t="e">
        <f>ROWS(#REF!)</f>
        <v>#REF!</v>
      </c>
      <c r="M774" s="10"/>
    </row>
    <row r="775" spans="12:13">
      <c r="L775" s="7" t="e">
        <f>ROWS(#REF!)</f>
        <v>#REF!</v>
      </c>
      <c r="M775" s="10"/>
    </row>
    <row r="776" spans="12:13">
      <c r="L776" s="7" t="e">
        <f>ROWS(#REF!)</f>
        <v>#REF!</v>
      </c>
      <c r="M776" s="10"/>
    </row>
    <row r="777" spans="12:13">
      <c r="L777" s="7" t="e">
        <f>ROWS(#REF!)</f>
        <v>#REF!</v>
      </c>
      <c r="M777" s="10"/>
    </row>
    <row r="778" spans="12:13">
      <c r="L778" s="7" t="e">
        <f>ROWS(#REF!)</f>
        <v>#REF!</v>
      </c>
      <c r="M778" s="10"/>
    </row>
    <row r="779" spans="12:13">
      <c r="L779" s="7" t="e">
        <f>ROWS(#REF!)</f>
        <v>#REF!</v>
      </c>
      <c r="M779" s="10"/>
    </row>
    <row r="780" spans="12:13">
      <c r="L780" s="7" t="e">
        <f>ROWS(#REF!)</f>
        <v>#REF!</v>
      </c>
      <c r="M780" s="10"/>
    </row>
    <row r="781" spans="12:13">
      <c r="L781" s="7" t="e">
        <f>ROWS(#REF!)</f>
        <v>#REF!</v>
      </c>
      <c r="M781" s="10"/>
    </row>
    <row r="782" spans="12:13">
      <c r="L782" s="7" t="e">
        <f>ROWS(#REF!)</f>
        <v>#REF!</v>
      </c>
      <c r="M782" s="10"/>
    </row>
    <row r="783" spans="12:13">
      <c r="L783" s="7" t="e">
        <f>ROWS(#REF!)</f>
        <v>#REF!</v>
      </c>
      <c r="M783" s="10"/>
    </row>
    <row r="784" spans="12:13">
      <c r="L784" s="7" t="e">
        <f>ROWS(#REF!)</f>
        <v>#REF!</v>
      </c>
      <c r="M784" s="10"/>
    </row>
    <row r="785" spans="12:13">
      <c r="L785" s="7" t="e">
        <f>ROWS(#REF!)</f>
        <v>#REF!</v>
      </c>
      <c r="M785" s="10"/>
    </row>
    <row r="786" spans="12:13">
      <c r="L786" s="7" t="e">
        <f>ROWS(#REF!)</f>
        <v>#REF!</v>
      </c>
      <c r="M786" s="10"/>
    </row>
    <row r="787" spans="12:13">
      <c r="L787" s="7" t="e">
        <f>ROWS(#REF!)</f>
        <v>#REF!</v>
      </c>
      <c r="M787" s="10"/>
    </row>
    <row r="788" spans="12:13">
      <c r="L788" s="7" t="e">
        <f>ROWS(#REF!)</f>
        <v>#REF!</v>
      </c>
      <c r="M788" s="10"/>
    </row>
    <row r="789" spans="12:13">
      <c r="L789" s="7" t="e">
        <f>ROWS(#REF!)</f>
        <v>#REF!</v>
      </c>
      <c r="M789" s="10"/>
    </row>
    <row r="790" spans="12:13">
      <c r="L790" s="7" t="e">
        <f>ROWS(#REF!)</f>
        <v>#REF!</v>
      </c>
      <c r="M790" s="10"/>
    </row>
    <row r="791" spans="12:13">
      <c r="L791" s="7" t="e">
        <f>ROWS(#REF!)</f>
        <v>#REF!</v>
      </c>
      <c r="M791" s="10"/>
    </row>
    <row r="792" spans="12:13">
      <c r="L792" s="7" t="e">
        <f>ROWS(#REF!)</f>
        <v>#REF!</v>
      </c>
      <c r="M792" s="10"/>
    </row>
    <row r="793" spans="12:13">
      <c r="L793" s="7" t="e">
        <f>ROWS(#REF!)</f>
        <v>#REF!</v>
      </c>
      <c r="M793" s="10"/>
    </row>
    <row r="794" spans="12:13">
      <c r="L794" s="7" t="e">
        <f>ROWS(#REF!)</f>
        <v>#REF!</v>
      </c>
      <c r="M794" s="10"/>
    </row>
    <row r="795" spans="12:13">
      <c r="L795" s="7" t="e">
        <f>ROWS(#REF!)</f>
        <v>#REF!</v>
      </c>
      <c r="M795" s="10"/>
    </row>
    <row r="796" spans="12:13">
      <c r="L796" s="7" t="e">
        <f>ROWS(#REF!)</f>
        <v>#REF!</v>
      </c>
      <c r="M796" s="10"/>
    </row>
    <row r="797" spans="12:13">
      <c r="L797" s="7" t="e">
        <f>ROWS(#REF!)</f>
        <v>#REF!</v>
      </c>
      <c r="M797" s="10"/>
    </row>
    <row r="798" spans="12:13">
      <c r="L798" s="7" t="e">
        <f>ROWS(#REF!)</f>
        <v>#REF!</v>
      </c>
      <c r="M798" s="10"/>
    </row>
    <row r="799" spans="12:13">
      <c r="L799" s="7" t="e">
        <f>ROWS(#REF!)</f>
        <v>#REF!</v>
      </c>
      <c r="M799" s="10"/>
    </row>
    <row r="800" spans="12:13">
      <c r="L800" s="7" t="e">
        <f>ROWS(#REF!)</f>
        <v>#REF!</v>
      </c>
      <c r="M800" s="10"/>
    </row>
    <row r="801" spans="12:13">
      <c r="L801" s="7" t="e">
        <f>ROWS(#REF!)</f>
        <v>#REF!</v>
      </c>
      <c r="M801" s="10"/>
    </row>
    <row r="802" spans="12:13">
      <c r="L802" s="7" t="e">
        <f>ROWS(#REF!)</f>
        <v>#REF!</v>
      </c>
      <c r="M802" s="10"/>
    </row>
    <row r="803" spans="12:13">
      <c r="L803" s="7" t="e">
        <f>ROWS(#REF!)</f>
        <v>#REF!</v>
      </c>
      <c r="M803" s="10"/>
    </row>
    <row r="804" spans="12:13">
      <c r="L804" s="7" t="e">
        <f>ROWS(#REF!)</f>
        <v>#REF!</v>
      </c>
      <c r="M804" s="10"/>
    </row>
    <row r="805" spans="12:13">
      <c r="L805" s="7" t="e">
        <f>ROWS(#REF!)</f>
        <v>#REF!</v>
      </c>
      <c r="M805" s="10"/>
    </row>
    <row r="806" spans="12:13">
      <c r="L806" s="7" t="e">
        <f>ROWS(#REF!)</f>
        <v>#REF!</v>
      </c>
      <c r="M806" s="10"/>
    </row>
    <row r="807" spans="12:13">
      <c r="L807" s="7" t="e">
        <f>ROWS(#REF!)</f>
        <v>#REF!</v>
      </c>
      <c r="M807" s="10"/>
    </row>
    <row r="808" spans="12:13">
      <c r="L808" s="7" t="e">
        <f>ROWS(#REF!)</f>
        <v>#REF!</v>
      </c>
      <c r="M808" s="10"/>
    </row>
    <row r="809" spans="12:13">
      <c r="L809" s="7" t="e">
        <f>ROWS(#REF!)</f>
        <v>#REF!</v>
      </c>
      <c r="M809" s="10"/>
    </row>
    <row r="810" spans="12:13">
      <c r="L810" s="7" t="e">
        <f>ROWS(#REF!)</f>
        <v>#REF!</v>
      </c>
      <c r="M810" s="10"/>
    </row>
    <row r="811" spans="12:13">
      <c r="L811" s="7" t="e">
        <f>ROWS(#REF!)</f>
        <v>#REF!</v>
      </c>
      <c r="M811" s="10"/>
    </row>
    <row r="812" spans="12:13">
      <c r="L812" s="7" t="e">
        <f>ROWS(#REF!)</f>
        <v>#REF!</v>
      </c>
      <c r="M812" s="10"/>
    </row>
    <row r="813" spans="12:13">
      <c r="L813" s="7" t="e">
        <f>ROWS(#REF!)</f>
        <v>#REF!</v>
      </c>
      <c r="M813" s="10"/>
    </row>
    <row r="814" spans="12:13">
      <c r="L814" s="7" t="e">
        <f>ROWS(#REF!)</f>
        <v>#REF!</v>
      </c>
      <c r="M814" s="10"/>
    </row>
    <row r="815" spans="12:13">
      <c r="L815" s="7" t="e">
        <f>ROWS(#REF!)</f>
        <v>#REF!</v>
      </c>
      <c r="M815" s="10"/>
    </row>
    <row r="816" spans="12:13">
      <c r="L816" s="7" t="e">
        <f>ROWS(#REF!)</f>
        <v>#REF!</v>
      </c>
      <c r="M816" s="10"/>
    </row>
    <row r="817" spans="12:13">
      <c r="L817" s="7" t="e">
        <f>ROWS(#REF!)</f>
        <v>#REF!</v>
      </c>
      <c r="M817" s="10"/>
    </row>
    <row r="818" spans="12:13">
      <c r="L818" s="7" t="e">
        <f>ROWS(#REF!)</f>
        <v>#REF!</v>
      </c>
      <c r="M818" s="10"/>
    </row>
    <row r="819" spans="12:13">
      <c r="L819" s="7" t="e">
        <f>ROWS(#REF!)</f>
        <v>#REF!</v>
      </c>
      <c r="M819" s="10"/>
    </row>
    <row r="820" spans="12:13">
      <c r="L820" s="7" t="e">
        <f>ROWS(#REF!)</f>
        <v>#REF!</v>
      </c>
      <c r="M820" s="10"/>
    </row>
    <row r="821" spans="12:13">
      <c r="L821" s="7" t="e">
        <f>ROWS(#REF!)</f>
        <v>#REF!</v>
      </c>
      <c r="M821" s="10"/>
    </row>
    <row r="822" spans="12:13">
      <c r="L822" s="7" t="e">
        <f>ROWS(#REF!)</f>
        <v>#REF!</v>
      </c>
      <c r="M822" s="10"/>
    </row>
    <row r="823" spans="12:13">
      <c r="L823" s="7" t="e">
        <f>ROWS(#REF!)</f>
        <v>#REF!</v>
      </c>
      <c r="M823" s="10"/>
    </row>
    <row r="824" spans="12:13">
      <c r="L824" s="7" t="e">
        <f>ROWS(#REF!)</f>
        <v>#REF!</v>
      </c>
      <c r="M824" s="10"/>
    </row>
    <row r="825" spans="12:13">
      <c r="L825" s="7" t="e">
        <f>ROWS(#REF!)</f>
        <v>#REF!</v>
      </c>
      <c r="M825" s="10"/>
    </row>
    <row r="826" spans="12:13">
      <c r="L826" s="7" t="e">
        <f>ROWS(#REF!)</f>
        <v>#REF!</v>
      </c>
      <c r="M826" s="10"/>
    </row>
    <row r="827" spans="12:13">
      <c r="L827" s="7" t="e">
        <f>ROWS(#REF!)</f>
        <v>#REF!</v>
      </c>
      <c r="M827" s="10"/>
    </row>
    <row r="828" spans="12:13">
      <c r="L828" s="7" t="e">
        <f>ROWS(#REF!)</f>
        <v>#REF!</v>
      </c>
      <c r="M828" s="10"/>
    </row>
    <row r="829" spans="12:13">
      <c r="L829" s="7" t="e">
        <f>ROWS(#REF!)</f>
        <v>#REF!</v>
      </c>
      <c r="M829" s="10"/>
    </row>
    <row r="830" spans="12:13">
      <c r="L830" s="7" t="e">
        <f>ROWS(#REF!)</f>
        <v>#REF!</v>
      </c>
      <c r="M830" s="10"/>
    </row>
    <row r="831" spans="12:13">
      <c r="L831" s="7" t="e">
        <f>ROWS(#REF!)</f>
        <v>#REF!</v>
      </c>
      <c r="M831" s="10"/>
    </row>
    <row r="832" spans="12:13">
      <c r="L832" s="7" t="e">
        <f>ROWS(#REF!)</f>
        <v>#REF!</v>
      </c>
      <c r="M832" s="10"/>
    </row>
    <row r="833" spans="12:13">
      <c r="L833" s="7" t="e">
        <f>ROWS(#REF!)</f>
        <v>#REF!</v>
      </c>
      <c r="M833" s="10"/>
    </row>
    <row r="834" spans="12:13">
      <c r="L834" s="7" t="e">
        <f>ROWS(#REF!)</f>
        <v>#REF!</v>
      </c>
      <c r="M834" s="10"/>
    </row>
    <row r="835" spans="12:13">
      <c r="L835" s="7" t="e">
        <f>ROWS(#REF!)</f>
        <v>#REF!</v>
      </c>
      <c r="M835" s="10"/>
    </row>
    <row r="836" spans="12:13">
      <c r="L836" s="7" t="e">
        <f>ROWS(#REF!)</f>
        <v>#REF!</v>
      </c>
      <c r="M836" s="10"/>
    </row>
    <row r="837" spans="12:13">
      <c r="L837" s="7" t="e">
        <f>ROWS(#REF!)</f>
        <v>#REF!</v>
      </c>
      <c r="M837" s="10"/>
    </row>
    <row r="838" spans="12:13">
      <c r="L838" s="7" t="e">
        <f>ROWS(#REF!)</f>
        <v>#REF!</v>
      </c>
      <c r="M838" s="10"/>
    </row>
    <row r="839" spans="12:13">
      <c r="L839" s="7" t="e">
        <f>ROWS(#REF!)</f>
        <v>#REF!</v>
      </c>
      <c r="M839" s="10"/>
    </row>
    <row r="840" spans="12:13">
      <c r="L840" s="7" t="e">
        <f>ROWS(#REF!)</f>
        <v>#REF!</v>
      </c>
      <c r="M840" s="10"/>
    </row>
    <row r="841" spans="12:13">
      <c r="L841" s="7" t="e">
        <f>ROWS(#REF!)</f>
        <v>#REF!</v>
      </c>
      <c r="M841" s="10"/>
    </row>
    <row r="842" spans="12:13">
      <c r="L842" s="7" t="e">
        <f>ROWS(#REF!)</f>
        <v>#REF!</v>
      </c>
      <c r="M842" s="10"/>
    </row>
    <row r="843" spans="12:13">
      <c r="L843" s="7" t="e">
        <f>ROWS(#REF!)</f>
        <v>#REF!</v>
      </c>
      <c r="M843" s="10"/>
    </row>
    <row r="844" spans="12:13">
      <c r="L844" s="7" t="e">
        <f>ROWS(#REF!)</f>
        <v>#REF!</v>
      </c>
      <c r="M844" s="10"/>
    </row>
    <row r="845" spans="12:13">
      <c r="L845" s="7" t="e">
        <f>ROWS(#REF!)</f>
        <v>#REF!</v>
      </c>
      <c r="M845" s="10"/>
    </row>
    <row r="846" spans="12:13">
      <c r="L846" s="7" t="e">
        <f>ROWS(#REF!)</f>
        <v>#REF!</v>
      </c>
      <c r="M846" s="10"/>
    </row>
    <row r="847" spans="12:13">
      <c r="L847" s="7" t="e">
        <f>ROWS(#REF!)</f>
        <v>#REF!</v>
      </c>
      <c r="M847" s="10"/>
    </row>
    <row r="848" spans="12:13">
      <c r="L848" s="7" t="e">
        <f>ROWS(#REF!)</f>
        <v>#REF!</v>
      </c>
      <c r="M848" s="10"/>
    </row>
    <row r="849" spans="12:13">
      <c r="L849" s="7" t="e">
        <f>ROWS(#REF!)</f>
        <v>#REF!</v>
      </c>
      <c r="M849" s="10"/>
    </row>
    <row r="850" spans="12:13">
      <c r="L850" s="7" t="e">
        <f>ROWS(#REF!)</f>
        <v>#REF!</v>
      </c>
      <c r="M850" s="10"/>
    </row>
    <row r="851" spans="12:13">
      <c r="L851" s="7" t="e">
        <f>ROWS(#REF!)</f>
        <v>#REF!</v>
      </c>
      <c r="M851" s="10"/>
    </row>
    <row r="852" spans="12:13">
      <c r="L852" s="7" t="e">
        <f>ROWS(#REF!)</f>
        <v>#REF!</v>
      </c>
      <c r="M852" s="10"/>
    </row>
    <row r="853" spans="12:13">
      <c r="L853" s="7" t="e">
        <f>ROWS(#REF!)</f>
        <v>#REF!</v>
      </c>
      <c r="M853" s="10"/>
    </row>
    <row r="854" spans="12:13">
      <c r="L854" s="7" t="e">
        <f>ROWS(#REF!)</f>
        <v>#REF!</v>
      </c>
      <c r="M854" s="10"/>
    </row>
    <row r="855" spans="12:13">
      <c r="L855" s="7" t="e">
        <f>ROWS(#REF!)</f>
        <v>#REF!</v>
      </c>
      <c r="M855" s="10"/>
    </row>
    <row r="856" spans="12:13">
      <c r="L856" s="7" t="e">
        <f>ROWS(#REF!)</f>
        <v>#REF!</v>
      </c>
      <c r="M856" s="10"/>
    </row>
    <row r="857" spans="12:13">
      <c r="L857" s="7" t="e">
        <f>ROWS(#REF!)</f>
        <v>#REF!</v>
      </c>
      <c r="M857" s="10"/>
    </row>
    <row r="858" spans="12:13">
      <c r="L858" s="7" t="e">
        <f>ROWS(#REF!)</f>
        <v>#REF!</v>
      </c>
      <c r="M858" s="10"/>
    </row>
    <row r="859" spans="12:13">
      <c r="L859" s="7" t="e">
        <f>ROWS(#REF!)</f>
        <v>#REF!</v>
      </c>
      <c r="M859" s="10"/>
    </row>
    <row r="860" spans="12:13">
      <c r="L860" s="7" t="e">
        <f>ROWS(#REF!)</f>
        <v>#REF!</v>
      </c>
      <c r="M860" s="10"/>
    </row>
    <row r="861" spans="12:13">
      <c r="L861" s="7" t="e">
        <f>ROWS(#REF!)</f>
        <v>#REF!</v>
      </c>
      <c r="M861" s="10"/>
    </row>
    <row r="862" spans="12:13">
      <c r="L862" s="7" t="e">
        <f>ROWS(#REF!)</f>
        <v>#REF!</v>
      </c>
      <c r="M862" s="10"/>
    </row>
    <row r="863" spans="12:13">
      <c r="L863" s="7" t="e">
        <f>ROWS(#REF!)</f>
        <v>#REF!</v>
      </c>
      <c r="M863" s="10"/>
    </row>
    <row r="864" spans="12:13">
      <c r="L864" s="7" t="e">
        <f>ROWS(#REF!)</f>
        <v>#REF!</v>
      </c>
      <c r="M864" s="10"/>
    </row>
    <row r="865" spans="12:13">
      <c r="L865" s="7" t="e">
        <f>ROWS(#REF!)</f>
        <v>#REF!</v>
      </c>
      <c r="M865" s="10"/>
    </row>
    <row r="866" spans="12:13">
      <c r="L866" s="7" t="e">
        <f>ROWS(#REF!)</f>
        <v>#REF!</v>
      </c>
      <c r="M866" s="10"/>
    </row>
    <row r="867" spans="12:13">
      <c r="L867" s="7" t="e">
        <f>ROWS(#REF!)</f>
        <v>#REF!</v>
      </c>
      <c r="M867" s="10"/>
    </row>
    <row r="868" spans="12:13">
      <c r="L868" s="7" t="e">
        <f>ROWS(#REF!)</f>
        <v>#REF!</v>
      </c>
      <c r="M868" s="10"/>
    </row>
    <row r="869" spans="12:13">
      <c r="L869" s="7" t="e">
        <f>ROWS(#REF!)</f>
        <v>#REF!</v>
      </c>
      <c r="M869" s="10"/>
    </row>
    <row r="870" spans="12:13">
      <c r="L870" s="7" t="e">
        <f>ROWS(#REF!)</f>
        <v>#REF!</v>
      </c>
      <c r="M870" s="10"/>
    </row>
    <row r="871" spans="12:13">
      <c r="L871" s="7" t="e">
        <f>ROWS(#REF!)</f>
        <v>#REF!</v>
      </c>
      <c r="M871" s="10"/>
    </row>
    <row r="872" spans="12:13">
      <c r="L872" s="7" t="e">
        <f>ROWS(#REF!)</f>
        <v>#REF!</v>
      </c>
      <c r="M872" s="10"/>
    </row>
    <row r="873" spans="12:13">
      <c r="L873" s="7" t="e">
        <f>ROWS(#REF!)</f>
        <v>#REF!</v>
      </c>
      <c r="M873" s="10"/>
    </row>
    <row r="874" spans="12:13">
      <c r="L874" s="7" t="e">
        <f>ROWS(#REF!)</f>
        <v>#REF!</v>
      </c>
      <c r="M874" s="10"/>
    </row>
    <row r="875" spans="12:13">
      <c r="L875" s="7" t="e">
        <f>ROWS(#REF!)</f>
        <v>#REF!</v>
      </c>
      <c r="M875" s="10"/>
    </row>
    <row r="876" spans="12:13">
      <c r="L876" s="7" t="e">
        <f>ROWS(#REF!)</f>
        <v>#REF!</v>
      </c>
      <c r="M876" s="10"/>
    </row>
    <row r="877" spans="12:13">
      <c r="L877" s="7" t="e">
        <f>ROWS(#REF!)</f>
        <v>#REF!</v>
      </c>
      <c r="M877" s="10"/>
    </row>
    <row r="878" spans="12:13">
      <c r="L878" s="7" t="e">
        <f>ROWS(#REF!)</f>
        <v>#REF!</v>
      </c>
      <c r="M878" s="10"/>
    </row>
    <row r="879" spans="12:13">
      <c r="L879" s="7" t="e">
        <f>ROWS(#REF!)</f>
        <v>#REF!</v>
      </c>
      <c r="M879" s="10"/>
    </row>
    <row r="880" spans="12:13">
      <c r="L880" s="7" t="e">
        <f>ROWS(#REF!)</f>
        <v>#REF!</v>
      </c>
      <c r="M880" s="10"/>
    </row>
    <row r="881" spans="12:13">
      <c r="L881" s="7" t="e">
        <f>ROWS(#REF!)</f>
        <v>#REF!</v>
      </c>
      <c r="M881" s="10"/>
    </row>
    <row r="882" spans="12:13">
      <c r="L882" s="7" t="e">
        <f>ROWS(#REF!)</f>
        <v>#REF!</v>
      </c>
      <c r="M882" s="10"/>
    </row>
    <row r="883" spans="12:13">
      <c r="L883" s="7" t="e">
        <f>ROWS(#REF!)</f>
        <v>#REF!</v>
      </c>
      <c r="M883" s="10"/>
    </row>
    <row r="884" spans="12:13">
      <c r="L884" s="7" t="e">
        <f>ROWS(#REF!)</f>
        <v>#REF!</v>
      </c>
      <c r="M884" s="10"/>
    </row>
    <row r="885" spans="12:13">
      <c r="L885" s="7" t="e">
        <f>ROWS(#REF!)</f>
        <v>#REF!</v>
      </c>
      <c r="M885" s="10"/>
    </row>
    <row r="886" spans="12:13">
      <c r="L886" s="7" t="e">
        <f>ROWS(#REF!)</f>
        <v>#REF!</v>
      </c>
      <c r="M886" s="10"/>
    </row>
    <row r="887" spans="12:13">
      <c r="L887" s="7" t="e">
        <f>ROWS(#REF!)</f>
        <v>#REF!</v>
      </c>
      <c r="M887" s="10"/>
    </row>
    <row r="888" spans="12:13">
      <c r="L888" s="7" t="e">
        <f>ROWS(#REF!)</f>
        <v>#REF!</v>
      </c>
      <c r="M888" s="10"/>
    </row>
    <row r="889" spans="12:13">
      <c r="L889" s="7" t="e">
        <f>ROWS(#REF!)</f>
        <v>#REF!</v>
      </c>
      <c r="M889" s="10"/>
    </row>
    <row r="890" spans="12:13">
      <c r="L890" s="7" t="e">
        <f>ROWS(#REF!)</f>
        <v>#REF!</v>
      </c>
      <c r="M890" s="10"/>
    </row>
    <row r="891" spans="12:13">
      <c r="L891" s="7" t="e">
        <f>ROWS(#REF!)</f>
        <v>#REF!</v>
      </c>
      <c r="M891" s="10"/>
    </row>
    <row r="892" spans="12:13">
      <c r="L892" s="7" t="e">
        <f>ROWS(#REF!)</f>
        <v>#REF!</v>
      </c>
      <c r="M892" s="10"/>
    </row>
    <row r="893" spans="12:13">
      <c r="L893" s="7" t="e">
        <f>ROWS(#REF!)</f>
        <v>#REF!</v>
      </c>
      <c r="M893" s="10"/>
    </row>
    <row r="894" spans="12:13">
      <c r="L894" s="7" t="e">
        <f>ROWS(#REF!)</f>
        <v>#REF!</v>
      </c>
      <c r="M894" s="10"/>
    </row>
    <row r="895" spans="12:13">
      <c r="L895" s="7" t="e">
        <f>ROWS(#REF!)</f>
        <v>#REF!</v>
      </c>
      <c r="M895" s="10"/>
    </row>
    <row r="896" spans="12:13">
      <c r="L896" s="7" t="e">
        <f>ROWS(#REF!)</f>
        <v>#REF!</v>
      </c>
      <c r="M896" s="10"/>
    </row>
    <row r="897" spans="12:13">
      <c r="L897" s="7" t="e">
        <f>ROWS(#REF!)</f>
        <v>#REF!</v>
      </c>
      <c r="M897" s="10"/>
    </row>
    <row r="898" spans="12:13">
      <c r="L898" s="7" t="e">
        <f>ROWS(#REF!)</f>
        <v>#REF!</v>
      </c>
      <c r="M898" s="10"/>
    </row>
    <row r="899" spans="12:13">
      <c r="L899" s="7" t="e">
        <f>ROWS(#REF!)</f>
        <v>#REF!</v>
      </c>
      <c r="M899" s="10"/>
    </row>
    <row r="900" spans="12:13">
      <c r="L900" s="7" t="e">
        <f>ROWS(#REF!)</f>
        <v>#REF!</v>
      </c>
      <c r="M900" s="10"/>
    </row>
    <row r="901" spans="12:13">
      <c r="L901" s="7" t="e">
        <f>ROWS(#REF!)</f>
        <v>#REF!</v>
      </c>
      <c r="M901" s="10"/>
    </row>
    <row r="902" spans="12:13">
      <c r="L902" s="7" t="e">
        <f>ROWS(#REF!)</f>
        <v>#REF!</v>
      </c>
      <c r="M902" s="10"/>
    </row>
    <row r="903" spans="12:13">
      <c r="L903" s="7" t="e">
        <f>ROWS(#REF!)</f>
        <v>#REF!</v>
      </c>
      <c r="M903" s="10"/>
    </row>
    <row r="904" spans="12:13">
      <c r="L904" s="7" t="e">
        <f>ROWS(#REF!)</f>
        <v>#REF!</v>
      </c>
      <c r="M904" s="10"/>
    </row>
    <row r="905" spans="12:13">
      <c r="L905" s="7" t="e">
        <f>ROWS(#REF!)</f>
        <v>#REF!</v>
      </c>
      <c r="M905" s="10"/>
    </row>
    <row r="906" spans="12:13">
      <c r="L906" s="7" t="e">
        <f>ROWS(#REF!)</f>
        <v>#REF!</v>
      </c>
      <c r="M906" s="10"/>
    </row>
    <row r="907" spans="12:13">
      <c r="L907" s="7" t="e">
        <f>ROWS(#REF!)</f>
        <v>#REF!</v>
      </c>
      <c r="M907" s="10"/>
    </row>
    <row r="908" spans="12:13">
      <c r="L908" s="7" t="e">
        <f>ROWS(#REF!)</f>
        <v>#REF!</v>
      </c>
      <c r="M908" s="10"/>
    </row>
    <row r="909" spans="12:13">
      <c r="L909" s="7" t="e">
        <f>ROWS(#REF!)</f>
        <v>#REF!</v>
      </c>
      <c r="M909" s="10"/>
    </row>
    <row r="910" spans="12:13">
      <c r="L910" s="7" t="e">
        <f>ROWS(#REF!)</f>
        <v>#REF!</v>
      </c>
      <c r="M910" s="10"/>
    </row>
    <row r="911" spans="12:13">
      <c r="L911" s="7" t="e">
        <f>ROWS(#REF!)</f>
        <v>#REF!</v>
      </c>
      <c r="M911" s="10"/>
    </row>
    <row r="912" spans="12:13">
      <c r="L912" s="7" t="e">
        <f>ROWS(#REF!)</f>
        <v>#REF!</v>
      </c>
      <c r="M912" s="10"/>
    </row>
    <row r="913" spans="12:13">
      <c r="L913" s="7" t="e">
        <f>ROWS(#REF!)</f>
        <v>#REF!</v>
      </c>
      <c r="M913" s="10"/>
    </row>
    <row r="914" spans="12:13">
      <c r="L914" s="7" t="e">
        <f>ROWS(#REF!)</f>
        <v>#REF!</v>
      </c>
      <c r="M914" s="10"/>
    </row>
    <row r="915" spans="12:13">
      <c r="L915" s="7" t="e">
        <f>ROWS(#REF!)</f>
        <v>#REF!</v>
      </c>
      <c r="M915" s="10"/>
    </row>
    <row r="916" spans="12:13">
      <c r="L916" s="7" t="e">
        <f>ROWS(#REF!)</f>
        <v>#REF!</v>
      </c>
      <c r="M916" s="10"/>
    </row>
    <row r="917" spans="12:13">
      <c r="L917" s="7" t="e">
        <f>ROWS(#REF!)</f>
        <v>#REF!</v>
      </c>
      <c r="M917" s="10"/>
    </row>
    <row r="918" spans="12:13">
      <c r="L918" s="7" t="e">
        <f>ROWS(#REF!)</f>
        <v>#REF!</v>
      </c>
      <c r="M918" s="10"/>
    </row>
    <row r="919" spans="12:13">
      <c r="L919" s="7" t="e">
        <f>ROWS(#REF!)</f>
        <v>#REF!</v>
      </c>
      <c r="M919" s="10"/>
    </row>
    <row r="920" spans="12:13">
      <c r="L920" s="7" t="e">
        <f>ROWS(#REF!)</f>
        <v>#REF!</v>
      </c>
      <c r="M920" s="10"/>
    </row>
    <row r="921" spans="12:13">
      <c r="L921" s="7" t="e">
        <f>ROWS(#REF!)</f>
        <v>#REF!</v>
      </c>
      <c r="M921" s="10"/>
    </row>
    <row r="922" spans="12:13">
      <c r="L922" s="7" t="e">
        <f>ROWS(#REF!)</f>
        <v>#REF!</v>
      </c>
      <c r="M922" s="10"/>
    </row>
    <row r="923" spans="12:13">
      <c r="L923" s="7" t="e">
        <f>ROWS(#REF!)</f>
        <v>#REF!</v>
      </c>
      <c r="M923" s="10"/>
    </row>
    <row r="924" spans="12:13">
      <c r="L924" s="7" t="e">
        <f>ROWS(#REF!)</f>
        <v>#REF!</v>
      </c>
      <c r="M924" s="10"/>
    </row>
    <row r="925" spans="12:13">
      <c r="L925" s="7" t="e">
        <f>ROWS(#REF!)</f>
        <v>#REF!</v>
      </c>
      <c r="M925" s="10"/>
    </row>
    <row r="926" spans="12:13">
      <c r="L926" s="7" t="e">
        <f>ROWS(#REF!)</f>
        <v>#REF!</v>
      </c>
      <c r="M926" s="10"/>
    </row>
    <row r="927" spans="12:13">
      <c r="L927" s="7" t="e">
        <f>ROWS(#REF!)</f>
        <v>#REF!</v>
      </c>
      <c r="M927" s="10"/>
    </row>
    <row r="928" spans="12:13">
      <c r="L928" s="7" t="e">
        <f>ROWS(#REF!)</f>
        <v>#REF!</v>
      </c>
      <c r="M928" s="10"/>
    </row>
    <row r="929" spans="12:13">
      <c r="L929" s="7" t="e">
        <f>ROWS(#REF!)</f>
        <v>#REF!</v>
      </c>
      <c r="M929" s="10"/>
    </row>
    <row r="930" spans="12:13">
      <c r="L930" s="7" t="e">
        <f>ROWS(#REF!)</f>
        <v>#REF!</v>
      </c>
      <c r="M930" s="10"/>
    </row>
    <row r="931" spans="12:13">
      <c r="L931" s="7" t="e">
        <f>ROWS(#REF!)</f>
        <v>#REF!</v>
      </c>
      <c r="M931" s="10"/>
    </row>
    <row r="932" spans="12:13">
      <c r="L932" s="7" t="e">
        <f>ROWS(#REF!)</f>
        <v>#REF!</v>
      </c>
      <c r="M932" s="10"/>
    </row>
    <row r="933" spans="12:13">
      <c r="L933" s="7" t="e">
        <f>ROWS(#REF!)</f>
        <v>#REF!</v>
      </c>
      <c r="M933" s="10"/>
    </row>
    <row r="934" spans="12:13">
      <c r="L934" s="7" t="e">
        <f>ROWS(#REF!)</f>
        <v>#REF!</v>
      </c>
      <c r="M934" s="10"/>
    </row>
    <row r="935" spans="12:13">
      <c r="L935" s="7" t="e">
        <f>ROWS(#REF!)</f>
        <v>#REF!</v>
      </c>
      <c r="M935" s="10"/>
    </row>
    <row r="936" spans="12:13">
      <c r="L936" s="7" t="e">
        <f>ROWS(#REF!)</f>
        <v>#REF!</v>
      </c>
      <c r="M936" s="10"/>
    </row>
    <row r="937" spans="12:13">
      <c r="L937" s="7" t="e">
        <f>ROWS(#REF!)</f>
        <v>#REF!</v>
      </c>
      <c r="M937" s="10"/>
    </row>
    <row r="938" spans="12:13">
      <c r="L938" s="7" t="e">
        <f>ROWS(#REF!)</f>
        <v>#REF!</v>
      </c>
      <c r="M938" s="10"/>
    </row>
    <row r="939" spans="12:13">
      <c r="L939" s="7" t="e">
        <f>ROWS(#REF!)</f>
        <v>#REF!</v>
      </c>
      <c r="M939" s="10"/>
    </row>
    <row r="940" spans="12:13">
      <c r="L940" s="7" t="e">
        <f>ROWS(#REF!)</f>
        <v>#REF!</v>
      </c>
      <c r="M940" s="10"/>
    </row>
    <row r="941" spans="12:13">
      <c r="L941" s="7" t="e">
        <f>ROWS(#REF!)</f>
        <v>#REF!</v>
      </c>
      <c r="M941" s="10"/>
    </row>
    <row r="942" spans="12:13">
      <c r="L942" s="7" t="e">
        <f>ROWS(#REF!)</f>
        <v>#REF!</v>
      </c>
      <c r="M942" s="10"/>
    </row>
    <row r="943" spans="12:13">
      <c r="L943" s="7" t="e">
        <f>ROWS(#REF!)</f>
        <v>#REF!</v>
      </c>
      <c r="M943" s="10"/>
    </row>
    <row r="944" spans="12:13">
      <c r="L944" s="7" t="e">
        <f>ROWS(#REF!)</f>
        <v>#REF!</v>
      </c>
      <c r="M944" s="10"/>
    </row>
    <row r="945" spans="12:13">
      <c r="L945" s="7" t="e">
        <f>ROWS(#REF!)</f>
        <v>#REF!</v>
      </c>
      <c r="M945" s="10"/>
    </row>
    <row r="946" spans="12:13">
      <c r="L946" s="7" t="e">
        <f>ROWS(#REF!)</f>
        <v>#REF!</v>
      </c>
      <c r="M946" s="10"/>
    </row>
    <row r="947" spans="12:13">
      <c r="L947" s="7" t="e">
        <f>ROWS(#REF!)</f>
        <v>#REF!</v>
      </c>
      <c r="M947" s="10"/>
    </row>
    <row r="948" spans="12:13">
      <c r="L948" s="7" t="e">
        <f>ROWS(#REF!)</f>
        <v>#REF!</v>
      </c>
      <c r="M948" s="10"/>
    </row>
    <row r="949" spans="12:13">
      <c r="L949" s="7" t="e">
        <f>ROWS(#REF!)</f>
        <v>#REF!</v>
      </c>
      <c r="M949" s="10"/>
    </row>
    <row r="950" spans="12:13">
      <c r="L950" s="7" t="e">
        <f>ROWS(#REF!)</f>
        <v>#REF!</v>
      </c>
      <c r="M950" s="10"/>
    </row>
    <row r="951" spans="12:13">
      <c r="L951" s="7" t="e">
        <f>ROWS(#REF!)</f>
        <v>#REF!</v>
      </c>
      <c r="M951" s="10"/>
    </row>
  </sheetData>
  <phoneticPr fontId="5" type="noConversion"/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L5"/>
  <sheetViews>
    <sheetView zoomScale="89" zoomScaleNormal="89" workbookViewId="0">
      <selection activeCell="A3" sqref="A3:A5"/>
    </sheetView>
  </sheetViews>
  <sheetFormatPr defaultRowHeight="15"/>
  <cols>
    <col min="1" max="1" width="7.85546875" style="3" bestFit="1" customWidth="1"/>
    <col min="2" max="3" width="31.42578125" bestFit="1" customWidth="1"/>
    <col min="4" max="4" width="5.28515625" bestFit="1" customWidth="1"/>
    <col min="5" max="5" width="7.140625" bestFit="1" customWidth="1"/>
    <col min="6" max="6" width="10.140625" bestFit="1" customWidth="1"/>
    <col min="7" max="7" width="27.7109375" bestFit="1" customWidth="1"/>
    <col min="8" max="8" width="11.28515625" bestFit="1" customWidth="1"/>
    <col min="9" max="9" width="29" bestFit="1" customWidth="1"/>
    <col min="10" max="10" width="12.7109375" bestFit="1" customWidth="1"/>
    <col min="11" max="11" width="10.85546875" bestFit="1" customWidth="1"/>
    <col min="12" max="12" width="15.5703125" bestFit="1" customWidth="1"/>
  </cols>
  <sheetData>
    <row r="1" spans="1:12" ht="32.25" customHeight="1">
      <c r="G1" s="52">
        <f ca="1">TODAY()</f>
        <v>44099</v>
      </c>
      <c r="H1" s="51" t="s">
        <v>38</v>
      </c>
      <c r="I1" s="52">
        <f ca="1">TODAY()</f>
        <v>44099</v>
      </c>
      <c r="J1" s="51" t="s">
        <v>73</v>
      </c>
      <c r="K1" s="51" t="s">
        <v>74</v>
      </c>
    </row>
    <row r="2" spans="1:12">
      <c r="A2" s="55" t="s">
        <v>0</v>
      </c>
      <c r="B2" s="27" t="s">
        <v>52</v>
      </c>
      <c r="C2" s="27" t="s">
        <v>53</v>
      </c>
      <c r="D2" s="27" t="s">
        <v>129</v>
      </c>
      <c r="E2" s="27" t="s">
        <v>130</v>
      </c>
      <c r="F2" s="27" t="s">
        <v>65</v>
      </c>
      <c r="G2" s="27" t="s">
        <v>66</v>
      </c>
      <c r="H2" s="27" t="s">
        <v>67</v>
      </c>
      <c r="I2" s="27" t="s">
        <v>68</v>
      </c>
      <c r="J2" s="27" t="s">
        <v>69</v>
      </c>
      <c r="K2" s="27" t="s">
        <v>70</v>
      </c>
      <c r="L2" s="27" t="s">
        <v>129</v>
      </c>
    </row>
    <row r="3" spans="1:12">
      <c r="A3" s="56" t="s">
        <v>943</v>
      </c>
      <c r="B3" s="51" t="s">
        <v>946</v>
      </c>
      <c r="C3" s="51" t="s">
        <v>946</v>
      </c>
      <c r="D3" s="54" t="s">
        <v>133</v>
      </c>
      <c r="E3" s="54">
        <v>1</v>
      </c>
      <c r="F3" s="51" t="s">
        <v>38</v>
      </c>
      <c r="G3" s="52">
        <v>43736</v>
      </c>
      <c r="H3" s="51" t="s">
        <v>72</v>
      </c>
      <c r="I3" s="53"/>
      <c r="J3" s="51" t="s">
        <v>74</v>
      </c>
      <c r="K3" s="51" t="s">
        <v>74</v>
      </c>
      <c r="L3" t="s">
        <v>824</v>
      </c>
    </row>
    <row r="4" spans="1:12">
      <c r="A4" s="56" t="s">
        <v>944</v>
      </c>
      <c r="B4" s="51" t="s">
        <v>947</v>
      </c>
      <c r="C4" s="51" t="s">
        <v>947</v>
      </c>
      <c r="D4" s="54" t="s">
        <v>321</v>
      </c>
      <c r="E4" s="54">
        <v>1</v>
      </c>
      <c r="F4" s="51" t="s">
        <v>38</v>
      </c>
      <c r="G4" s="52">
        <v>43736</v>
      </c>
      <c r="H4" s="51" t="s">
        <v>38</v>
      </c>
      <c r="I4" s="52">
        <v>43866.28398148148</v>
      </c>
      <c r="J4" s="51" t="s">
        <v>73</v>
      </c>
      <c r="K4" s="51" t="s">
        <v>74</v>
      </c>
      <c r="L4" t="s">
        <v>824</v>
      </c>
    </row>
    <row r="5" spans="1:12">
      <c r="A5" s="56" t="s">
        <v>945</v>
      </c>
      <c r="B5" s="51" t="s">
        <v>948</v>
      </c>
      <c r="C5" s="51" t="s">
        <v>948</v>
      </c>
      <c r="D5" s="54" t="s">
        <v>321</v>
      </c>
      <c r="E5" s="54">
        <v>1</v>
      </c>
      <c r="F5" s="51" t="s">
        <v>80</v>
      </c>
      <c r="G5" s="52">
        <v>43894.487268518518</v>
      </c>
      <c r="H5" s="51" t="s">
        <v>72</v>
      </c>
      <c r="I5" s="53"/>
      <c r="J5" s="51" t="s">
        <v>74</v>
      </c>
      <c r="K5" s="51" t="s">
        <v>74</v>
      </c>
      <c r="L5" t="s">
        <v>824</v>
      </c>
    </row>
  </sheetData>
  <dataValidations count="1">
    <dataValidation type="textLength" allowBlank="1" showInputMessage="1" showErrorMessage="1" promptTitle="Maximum Limit of 40 Characters" prompt="Maximum Limit of Input 40 Characters" sqref="B1:C1048576" xr:uid="{00000000-0002-0000-0400-000000000000}">
      <formula1>1</formula1>
      <formula2>40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GeneralMaster!$W$3:$W$23</xm:f>
          </x14:formula1>
          <xm:sqref>L3:L502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J119"/>
  <sheetViews>
    <sheetView view="pageBreakPreview" zoomScaleSheetLayoutView="100" workbookViewId="0">
      <pane xSplit="2" ySplit="2" topLeftCell="AF3" activePane="bottomRight" state="frozen"/>
      <selection pane="topRight" activeCell="C1" sqref="C1"/>
      <selection pane="bottomLeft" activeCell="A3" sqref="A3"/>
      <selection pane="bottomRight" activeCell="AG2" sqref="AG2"/>
    </sheetView>
  </sheetViews>
  <sheetFormatPr defaultRowHeight="15" outlineLevelCol="1"/>
  <cols>
    <col min="1" max="1" width="30.140625" style="62" bestFit="1" customWidth="1"/>
    <col min="2" max="2" width="26.7109375" style="62" bestFit="1" customWidth="1"/>
    <col min="3" max="3" width="7.85546875" style="62" hidden="1" customWidth="1" outlineLevel="1"/>
    <col min="4" max="4" width="6.85546875" style="62" hidden="1" customWidth="1" outlineLevel="1"/>
    <col min="5" max="5" width="12" style="62" bestFit="1" customWidth="1" collapsed="1"/>
    <col min="6" max="8" width="12" style="62" bestFit="1" customWidth="1"/>
    <col min="9" max="12" width="14.85546875" style="62" bestFit="1" customWidth="1"/>
    <col min="13" max="16" width="17.28515625" style="62" bestFit="1" customWidth="1"/>
    <col min="17" max="20" width="23.85546875" style="62" bestFit="1" customWidth="1"/>
    <col min="21" max="24" width="22.5703125" style="62" bestFit="1" customWidth="1"/>
    <col min="25" max="28" width="18.5703125" style="62" bestFit="1" customWidth="1"/>
    <col min="29" max="32" width="23.7109375" style="62" bestFit="1" customWidth="1"/>
    <col min="33" max="36" width="23.28515625" style="62" bestFit="1" customWidth="1"/>
    <col min="37" max="16384" width="9.140625" style="13"/>
  </cols>
  <sheetData>
    <row r="1" spans="1:36" ht="33.75" customHeight="1">
      <c r="E1" s="75" t="s">
        <v>1095</v>
      </c>
      <c r="F1" s="75"/>
      <c r="G1" s="75"/>
      <c r="H1" s="75"/>
      <c r="I1" s="75" t="s">
        <v>1096</v>
      </c>
      <c r="J1" s="75"/>
      <c r="K1" s="75"/>
      <c r="L1" s="75"/>
      <c r="M1" s="75" t="s">
        <v>1097</v>
      </c>
      <c r="N1" s="75"/>
      <c r="O1" s="75"/>
      <c r="P1" s="75"/>
      <c r="Q1" s="75" t="s">
        <v>1098</v>
      </c>
      <c r="R1" s="75"/>
      <c r="S1" s="75"/>
      <c r="T1" s="75"/>
      <c r="U1" s="75" t="s">
        <v>1099</v>
      </c>
      <c r="V1" s="75"/>
      <c r="W1" s="75"/>
      <c r="X1" s="75"/>
      <c r="Y1" s="75" t="s">
        <v>1098</v>
      </c>
      <c r="Z1" s="75"/>
      <c r="AA1" s="75"/>
      <c r="AB1" s="75"/>
      <c r="AC1" s="75" t="s">
        <v>1100</v>
      </c>
      <c r="AD1" s="75"/>
      <c r="AE1" s="75"/>
      <c r="AF1" s="75"/>
      <c r="AG1" s="75" t="s">
        <v>1101</v>
      </c>
      <c r="AH1" s="75"/>
      <c r="AI1" s="75"/>
      <c r="AJ1" s="75"/>
    </row>
    <row r="2" spans="1:36">
      <c r="A2" s="63" t="s">
        <v>127</v>
      </c>
      <c r="B2" s="63" t="s">
        <v>128</v>
      </c>
      <c r="C2" s="64" t="s">
        <v>0</v>
      </c>
      <c r="D2" s="64" t="s">
        <v>1</v>
      </c>
      <c r="E2" s="64" t="s">
        <v>2</v>
      </c>
      <c r="F2" s="64" t="s">
        <v>3</v>
      </c>
      <c r="G2" s="64" t="s">
        <v>4</v>
      </c>
      <c r="H2" s="64" t="s">
        <v>5</v>
      </c>
      <c r="I2" s="64" t="s">
        <v>6</v>
      </c>
      <c r="J2" s="64" t="s">
        <v>7</v>
      </c>
      <c r="K2" s="64" t="s">
        <v>8</v>
      </c>
      <c r="L2" s="64" t="s">
        <v>9</v>
      </c>
      <c r="M2" s="64" t="s">
        <v>10</v>
      </c>
      <c r="N2" s="64" t="s">
        <v>11</v>
      </c>
      <c r="O2" s="64" t="s">
        <v>12</v>
      </c>
      <c r="P2" s="64" t="s">
        <v>13</v>
      </c>
      <c r="Q2" s="64" t="s">
        <v>14</v>
      </c>
      <c r="R2" s="64" t="s">
        <v>15</v>
      </c>
      <c r="S2" s="64" t="s">
        <v>16</v>
      </c>
      <c r="T2" s="64" t="s">
        <v>17</v>
      </c>
      <c r="U2" s="64" t="s">
        <v>18</v>
      </c>
      <c r="V2" s="64" t="s">
        <v>19</v>
      </c>
      <c r="W2" s="64" t="s">
        <v>20</v>
      </c>
      <c r="X2" s="64" t="s">
        <v>21</v>
      </c>
      <c r="Y2" s="64" t="s">
        <v>22</v>
      </c>
      <c r="Z2" s="64" t="s">
        <v>23</v>
      </c>
      <c r="AA2" s="64" t="s">
        <v>24</v>
      </c>
      <c r="AB2" s="64" t="s">
        <v>25</v>
      </c>
      <c r="AC2" s="64" t="s">
        <v>26</v>
      </c>
      <c r="AD2" s="64" t="s">
        <v>27</v>
      </c>
      <c r="AE2" s="64" t="s">
        <v>28</v>
      </c>
      <c r="AF2" s="64" t="s">
        <v>29</v>
      </c>
      <c r="AG2" s="64" t="s">
        <v>30</v>
      </c>
      <c r="AH2" s="64" t="s">
        <v>31</v>
      </c>
      <c r="AI2" s="64" t="s">
        <v>32</v>
      </c>
      <c r="AJ2" s="64" t="s">
        <v>33</v>
      </c>
    </row>
    <row r="3" spans="1:36">
      <c r="A3" s="62" t="s">
        <v>949</v>
      </c>
      <c r="B3" s="62" t="s">
        <v>305</v>
      </c>
      <c r="C3" s="62" t="s">
        <v>34</v>
      </c>
      <c r="D3" s="62" t="s">
        <v>35</v>
      </c>
      <c r="E3" s="62">
        <v>0</v>
      </c>
      <c r="F3" s="62">
        <v>0</v>
      </c>
      <c r="G3" s="62">
        <v>2000</v>
      </c>
      <c r="H3" s="62">
        <v>0</v>
      </c>
      <c r="I3" s="62">
        <v>0</v>
      </c>
      <c r="J3" s="62">
        <v>0</v>
      </c>
      <c r="K3" s="62">
        <v>150</v>
      </c>
      <c r="L3" s="62">
        <v>0</v>
      </c>
      <c r="M3" s="62">
        <v>0</v>
      </c>
      <c r="N3" s="62">
        <v>0</v>
      </c>
      <c r="O3" s="62">
        <v>0</v>
      </c>
      <c r="P3" s="62">
        <v>0</v>
      </c>
      <c r="Q3" s="62">
        <v>0</v>
      </c>
      <c r="R3" s="62">
        <v>0</v>
      </c>
      <c r="S3" s="62">
        <v>0</v>
      </c>
      <c r="T3" s="62">
        <v>0</v>
      </c>
      <c r="U3" s="62">
        <v>0</v>
      </c>
      <c r="V3" s="62">
        <v>0</v>
      </c>
      <c r="W3" s="62">
        <v>0</v>
      </c>
      <c r="X3" s="62">
        <v>0</v>
      </c>
      <c r="Y3" s="62">
        <v>0</v>
      </c>
      <c r="Z3" s="62">
        <v>0</v>
      </c>
      <c r="AA3" s="62">
        <v>500</v>
      </c>
      <c r="AB3" s="62">
        <v>0</v>
      </c>
      <c r="AC3" s="62">
        <v>0</v>
      </c>
      <c r="AD3" s="62">
        <v>0</v>
      </c>
      <c r="AE3" s="62">
        <v>4</v>
      </c>
      <c r="AF3" s="62">
        <v>0</v>
      </c>
      <c r="AG3" s="62">
        <v>0</v>
      </c>
      <c r="AH3" s="62">
        <v>0</v>
      </c>
      <c r="AI3" s="62">
        <v>50</v>
      </c>
      <c r="AJ3" s="62">
        <v>0</v>
      </c>
    </row>
    <row r="4" spans="1:36">
      <c r="A4" s="62" t="s">
        <v>949</v>
      </c>
      <c r="B4" s="62" t="s">
        <v>305</v>
      </c>
      <c r="C4" s="62" t="s">
        <v>34</v>
      </c>
      <c r="D4" s="62" t="s">
        <v>35</v>
      </c>
      <c r="E4" s="62">
        <v>1000</v>
      </c>
      <c r="F4" s="62">
        <v>1000</v>
      </c>
      <c r="G4" s="62">
        <v>1000</v>
      </c>
      <c r="H4" s="62">
        <v>0</v>
      </c>
      <c r="I4" s="62">
        <v>100</v>
      </c>
      <c r="J4" s="62">
        <v>100</v>
      </c>
      <c r="K4" s="62">
        <v>300</v>
      </c>
      <c r="L4" s="62">
        <v>0</v>
      </c>
      <c r="M4" s="62">
        <v>0</v>
      </c>
      <c r="N4" s="62">
        <v>0</v>
      </c>
      <c r="O4" s="62">
        <v>0</v>
      </c>
      <c r="P4" s="62">
        <v>0</v>
      </c>
      <c r="Q4" s="62">
        <v>0</v>
      </c>
      <c r="R4" s="62">
        <v>0</v>
      </c>
      <c r="S4" s="62">
        <v>0</v>
      </c>
      <c r="T4" s="62">
        <v>0</v>
      </c>
      <c r="U4" s="62">
        <v>0</v>
      </c>
      <c r="V4" s="62">
        <v>0</v>
      </c>
      <c r="W4" s="62">
        <v>0</v>
      </c>
      <c r="X4" s="62">
        <v>0</v>
      </c>
      <c r="Y4" s="62">
        <v>500</v>
      </c>
      <c r="Z4" s="62">
        <v>500</v>
      </c>
      <c r="AA4" s="62">
        <v>500</v>
      </c>
      <c r="AB4" s="62">
        <v>0</v>
      </c>
      <c r="AC4" s="62">
        <v>3</v>
      </c>
      <c r="AD4" s="62">
        <v>3</v>
      </c>
      <c r="AE4" s="62">
        <v>4</v>
      </c>
      <c r="AF4" s="62">
        <v>0</v>
      </c>
      <c r="AG4" s="62">
        <v>50</v>
      </c>
      <c r="AH4" s="62">
        <v>50</v>
      </c>
      <c r="AI4" s="62">
        <v>50</v>
      </c>
      <c r="AJ4" s="62">
        <v>0</v>
      </c>
    </row>
    <row r="5" spans="1:36">
      <c r="A5" s="62" t="s">
        <v>949</v>
      </c>
      <c r="B5" s="62" t="s">
        <v>305</v>
      </c>
      <c r="C5" s="62" t="s">
        <v>34</v>
      </c>
      <c r="D5" s="62" t="s">
        <v>35</v>
      </c>
      <c r="E5" s="62">
        <v>999999</v>
      </c>
      <c r="F5" s="62">
        <v>999990</v>
      </c>
      <c r="G5" s="62">
        <v>999990</v>
      </c>
      <c r="H5" s="62">
        <v>0</v>
      </c>
      <c r="I5" s="62">
        <v>100</v>
      </c>
      <c r="J5" s="62">
        <v>100</v>
      </c>
      <c r="K5" s="62">
        <v>100</v>
      </c>
      <c r="L5" s="62">
        <v>0</v>
      </c>
      <c r="M5" s="62">
        <v>0</v>
      </c>
      <c r="N5" s="62">
        <v>0</v>
      </c>
      <c r="O5" s="62">
        <v>0</v>
      </c>
      <c r="P5" s="62">
        <v>0</v>
      </c>
      <c r="Q5" s="62">
        <v>0</v>
      </c>
      <c r="R5" s="62">
        <v>0</v>
      </c>
      <c r="S5" s="62">
        <v>0</v>
      </c>
      <c r="T5" s="62">
        <v>0</v>
      </c>
      <c r="U5" s="62">
        <v>0</v>
      </c>
      <c r="V5" s="62">
        <v>0</v>
      </c>
      <c r="W5" s="62">
        <v>0</v>
      </c>
      <c r="X5" s="62">
        <v>0</v>
      </c>
      <c r="Y5" s="62">
        <v>500</v>
      </c>
      <c r="Z5" s="62">
        <v>500</v>
      </c>
      <c r="AA5" s="62">
        <v>500</v>
      </c>
      <c r="AB5" s="62">
        <v>0</v>
      </c>
      <c r="AC5" s="62">
        <v>2</v>
      </c>
      <c r="AD5" s="62">
        <v>3</v>
      </c>
      <c r="AE5" s="62">
        <v>4</v>
      </c>
      <c r="AF5" s="62">
        <v>0</v>
      </c>
      <c r="AG5" s="62">
        <v>50</v>
      </c>
      <c r="AH5" s="62">
        <v>50</v>
      </c>
      <c r="AI5" s="62">
        <v>50</v>
      </c>
      <c r="AJ5" s="62">
        <v>0</v>
      </c>
    </row>
    <row r="6" spans="1:36">
      <c r="A6" s="62" t="s">
        <v>949</v>
      </c>
      <c r="B6" s="62" t="s">
        <v>306</v>
      </c>
      <c r="C6" s="62" t="s">
        <v>34</v>
      </c>
      <c r="D6" s="62" t="s">
        <v>36</v>
      </c>
      <c r="E6" s="62">
        <v>0</v>
      </c>
      <c r="F6" s="62">
        <v>0</v>
      </c>
      <c r="G6" s="62">
        <v>2000</v>
      </c>
      <c r="H6" s="62">
        <v>0</v>
      </c>
      <c r="I6" s="62">
        <v>0</v>
      </c>
      <c r="J6" s="62">
        <v>0</v>
      </c>
      <c r="K6" s="62">
        <v>187.5</v>
      </c>
      <c r="L6" s="62">
        <v>0</v>
      </c>
      <c r="M6" s="62">
        <v>0</v>
      </c>
      <c r="N6" s="62">
        <v>0</v>
      </c>
      <c r="O6" s="62">
        <v>0</v>
      </c>
      <c r="P6" s="62">
        <v>0</v>
      </c>
      <c r="Q6" s="62">
        <v>0</v>
      </c>
      <c r="R6" s="62">
        <v>0</v>
      </c>
      <c r="S6" s="62">
        <v>0</v>
      </c>
      <c r="T6" s="62">
        <v>0</v>
      </c>
      <c r="U6" s="62">
        <v>0</v>
      </c>
      <c r="V6" s="62">
        <v>0</v>
      </c>
      <c r="W6" s="62">
        <v>0</v>
      </c>
      <c r="X6" s="62">
        <v>0</v>
      </c>
      <c r="Y6" s="62">
        <v>0</v>
      </c>
      <c r="Z6" s="62">
        <v>0</v>
      </c>
      <c r="AA6" s="62">
        <v>500</v>
      </c>
      <c r="AB6" s="62">
        <v>0</v>
      </c>
      <c r="AC6" s="62">
        <v>0</v>
      </c>
      <c r="AD6" s="62">
        <v>0</v>
      </c>
      <c r="AE6" s="62">
        <v>4</v>
      </c>
      <c r="AF6" s="62">
        <v>0</v>
      </c>
      <c r="AG6" s="62">
        <v>0</v>
      </c>
      <c r="AH6" s="62">
        <v>0</v>
      </c>
      <c r="AI6" s="62">
        <v>50</v>
      </c>
      <c r="AJ6" s="62">
        <v>0</v>
      </c>
    </row>
    <row r="7" spans="1:36">
      <c r="A7" s="62" t="s">
        <v>949</v>
      </c>
      <c r="B7" s="62" t="s">
        <v>306</v>
      </c>
      <c r="C7" s="62" t="s">
        <v>34</v>
      </c>
      <c r="D7" s="62" t="s">
        <v>36</v>
      </c>
      <c r="E7" s="62">
        <v>1000</v>
      </c>
      <c r="F7" s="62">
        <v>1000</v>
      </c>
      <c r="G7" s="62">
        <v>1000</v>
      </c>
      <c r="H7" s="62">
        <v>0</v>
      </c>
      <c r="I7" s="62">
        <v>200</v>
      </c>
      <c r="J7" s="62">
        <v>150</v>
      </c>
      <c r="K7" s="62">
        <v>375</v>
      </c>
      <c r="L7" s="62">
        <v>0</v>
      </c>
      <c r="M7" s="62">
        <v>0</v>
      </c>
      <c r="N7" s="62">
        <v>0</v>
      </c>
      <c r="O7" s="62">
        <v>0</v>
      </c>
      <c r="P7" s="62">
        <v>0</v>
      </c>
      <c r="Q7" s="62">
        <v>0</v>
      </c>
      <c r="R7" s="62">
        <v>0</v>
      </c>
      <c r="S7" s="62">
        <v>0</v>
      </c>
      <c r="T7" s="62">
        <v>0</v>
      </c>
      <c r="U7" s="62">
        <v>0</v>
      </c>
      <c r="V7" s="62">
        <v>0</v>
      </c>
      <c r="W7" s="62">
        <v>0</v>
      </c>
      <c r="X7" s="62">
        <v>0</v>
      </c>
      <c r="Y7" s="62">
        <v>500</v>
      </c>
      <c r="Z7" s="62">
        <v>500</v>
      </c>
      <c r="AA7" s="62">
        <v>500</v>
      </c>
      <c r="AB7" s="62">
        <v>0</v>
      </c>
      <c r="AC7" s="62">
        <v>2</v>
      </c>
      <c r="AD7" s="62">
        <v>3</v>
      </c>
      <c r="AE7" s="62">
        <v>4</v>
      </c>
      <c r="AF7" s="62">
        <v>0</v>
      </c>
      <c r="AG7" s="62">
        <v>50</v>
      </c>
      <c r="AH7" s="62">
        <v>50</v>
      </c>
      <c r="AI7" s="62">
        <v>50</v>
      </c>
      <c r="AJ7" s="62">
        <v>0</v>
      </c>
    </row>
    <row r="8" spans="1:36">
      <c r="A8" s="62" t="s">
        <v>949</v>
      </c>
      <c r="B8" s="62" t="s">
        <v>306</v>
      </c>
      <c r="C8" s="62" t="s">
        <v>34</v>
      </c>
      <c r="D8" s="62" t="s">
        <v>36</v>
      </c>
      <c r="E8" s="62">
        <v>999999</v>
      </c>
      <c r="F8" s="62">
        <v>999999</v>
      </c>
      <c r="G8" s="62">
        <v>999999</v>
      </c>
      <c r="H8" s="62">
        <v>0</v>
      </c>
      <c r="I8" s="62">
        <v>0</v>
      </c>
      <c r="J8" s="62">
        <v>0</v>
      </c>
      <c r="K8" s="62">
        <v>125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500</v>
      </c>
      <c r="Z8" s="62">
        <v>500</v>
      </c>
      <c r="AA8" s="62">
        <v>500</v>
      </c>
      <c r="AB8" s="62">
        <v>0</v>
      </c>
      <c r="AC8" s="62">
        <v>2</v>
      </c>
      <c r="AD8" s="62">
        <v>3</v>
      </c>
      <c r="AE8" s="62">
        <v>4</v>
      </c>
      <c r="AF8" s="62">
        <v>0</v>
      </c>
      <c r="AG8" s="62">
        <v>50</v>
      </c>
      <c r="AH8" s="62">
        <v>50</v>
      </c>
      <c r="AI8" s="62">
        <v>50</v>
      </c>
      <c r="AJ8" s="62">
        <v>0</v>
      </c>
    </row>
    <row r="9" spans="1:36">
      <c r="A9" s="62" t="s">
        <v>949</v>
      </c>
      <c r="B9" s="62" t="s">
        <v>314</v>
      </c>
      <c r="C9" s="62" t="s">
        <v>34</v>
      </c>
      <c r="D9" s="62" t="s">
        <v>37</v>
      </c>
      <c r="E9" s="62">
        <v>0</v>
      </c>
      <c r="F9" s="62">
        <v>0</v>
      </c>
      <c r="G9" s="62">
        <v>1000</v>
      </c>
      <c r="H9" s="62">
        <v>0</v>
      </c>
      <c r="I9" s="62">
        <v>0</v>
      </c>
      <c r="J9" s="62">
        <v>0</v>
      </c>
      <c r="K9" s="62">
        <v>250</v>
      </c>
      <c r="L9" s="62">
        <v>0</v>
      </c>
      <c r="M9" s="62">
        <v>0</v>
      </c>
      <c r="N9" s="62">
        <v>0</v>
      </c>
      <c r="O9" s="62">
        <v>0</v>
      </c>
      <c r="P9" s="62">
        <v>0</v>
      </c>
      <c r="Q9" s="62">
        <v>0</v>
      </c>
      <c r="R9" s="62">
        <v>0</v>
      </c>
      <c r="S9" s="62">
        <v>0</v>
      </c>
      <c r="T9" s="62">
        <v>0</v>
      </c>
      <c r="U9" s="62">
        <v>0</v>
      </c>
      <c r="V9" s="62">
        <v>0</v>
      </c>
      <c r="W9" s="62">
        <v>0</v>
      </c>
      <c r="X9" s="62">
        <v>0</v>
      </c>
      <c r="Y9" s="62">
        <v>0</v>
      </c>
      <c r="Z9" s="62">
        <v>0</v>
      </c>
      <c r="AA9" s="62">
        <v>250</v>
      </c>
      <c r="AB9" s="62">
        <v>0</v>
      </c>
      <c r="AC9" s="62">
        <v>0</v>
      </c>
      <c r="AD9" s="62">
        <v>0</v>
      </c>
      <c r="AE9" s="62">
        <v>4</v>
      </c>
      <c r="AF9" s="62">
        <v>0</v>
      </c>
      <c r="AG9" s="62">
        <v>0</v>
      </c>
      <c r="AH9" s="62">
        <v>0</v>
      </c>
      <c r="AI9" s="62">
        <v>100</v>
      </c>
      <c r="AJ9" s="62">
        <v>0</v>
      </c>
    </row>
    <row r="10" spans="1:36">
      <c r="A10" s="62" t="s">
        <v>949</v>
      </c>
      <c r="B10" s="62" t="s">
        <v>314</v>
      </c>
      <c r="C10" s="62" t="s">
        <v>34</v>
      </c>
      <c r="D10" s="62" t="s">
        <v>37</v>
      </c>
      <c r="E10" s="62">
        <v>0</v>
      </c>
      <c r="F10" s="62">
        <v>0</v>
      </c>
      <c r="G10" s="62">
        <v>2000</v>
      </c>
      <c r="H10" s="62">
        <v>0</v>
      </c>
      <c r="I10" s="62">
        <v>0</v>
      </c>
      <c r="J10" s="62">
        <v>0</v>
      </c>
      <c r="K10" s="62">
        <v>125</v>
      </c>
      <c r="L10" s="62">
        <v>0</v>
      </c>
      <c r="M10" s="62">
        <v>0</v>
      </c>
      <c r="N10" s="62">
        <v>0</v>
      </c>
      <c r="O10" s="62">
        <v>0</v>
      </c>
      <c r="P10" s="62">
        <v>0</v>
      </c>
      <c r="Q10" s="62">
        <v>0</v>
      </c>
      <c r="R10" s="62">
        <v>0</v>
      </c>
      <c r="S10" s="62">
        <v>0</v>
      </c>
      <c r="T10" s="62">
        <v>0</v>
      </c>
      <c r="U10" s="62">
        <v>0</v>
      </c>
      <c r="V10" s="62">
        <v>0</v>
      </c>
      <c r="W10" s="62">
        <v>0</v>
      </c>
      <c r="X10" s="62">
        <v>0</v>
      </c>
      <c r="Y10" s="62">
        <v>0</v>
      </c>
      <c r="Z10" s="62">
        <v>0</v>
      </c>
      <c r="AA10" s="62">
        <v>250</v>
      </c>
      <c r="AB10" s="62">
        <v>0</v>
      </c>
      <c r="AC10" s="62">
        <v>0</v>
      </c>
      <c r="AD10" s="62">
        <v>0</v>
      </c>
      <c r="AE10" s="62">
        <v>4</v>
      </c>
      <c r="AF10" s="62">
        <v>0</v>
      </c>
      <c r="AG10" s="62">
        <v>0</v>
      </c>
      <c r="AH10" s="62">
        <v>0</v>
      </c>
      <c r="AI10" s="62">
        <v>100</v>
      </c>
      <c r="AJ10" s="62">
        <v>0</v>
      </c>
    </row>
    <row r="11" spans="1:36">
      <c r="A11" s="62" t="s">
        <v>949</v>
      </c>
      <c r="B11" s="62" t="s">
        <v>314</v>
      </c>
      <c r="C11" s="62" t="s">
        <v>34</v>
      </c>
      <c r="D11" s="62" t="s">
        <v>37</v>
      </c>
      <c r="E11" s="62">
        <v>0</v>
      </c>
      <c r="F11" s="62">
        <v>0</v>
      </c>
      <c r="G11" s="62">
        <v>999999</v>
      </c>
      <c r="H11" s="62">
        <v>0</v>
      </c>
      <c r="I11" s="62">
        <v>0</v>
      </c>
      <c r="J11" s="62">
        <v>0</v>
      </c>
      <c r="K11" s="62">
        <v>125</v>
      </c>
      <c r="L11" s="62">
        <v>0</v>
      </c>
      <c r="M11" s="62">
        <v>0</v>
      </c>
      <c r="N11" s="62">
        <v>0</v>
      </c>
      <c r="O11" s="62">
        <v>0</v>
      </c>
      <c r="P11" s="62">
        <v>0</v>
      </c>
      <c r="Q11" s="62">
        <v>0</v>
      </c>
      <c r="R11" s="62">
        <v>0</v>
      </c>
      <c r="S11" s="62">
        <v>0</v>
      </c>
      <c r="T11" s="62">
        <v>0</v>
      </c>
      <c r="U11" s="62">
        <v>0</v>
      </c>
      <c r="V11" s="62">
        <v>0</v>
      </c>
      <c r="W11" s="62">
        <v>0</v>
      </c>
      <c r="X11" s="62">
        <v>0</v>
      </c>
      <c r="Y11" s="62">
        <v>0</v>
      </c>
      <c r="Z11" s="62">
        <v>0</v>
      </c>
      <c r="AA11" s="62">
        <v>250</v>
      </c>
      <c r="AB11" s="62">
        <v>0</v>
      </c>
      <c r="AC11" s="62">
        <v>0</v>
      </c>
      <c r="AD11" s="62">
        <v>0</v>
      </c>
      <c r="AE11" s="62">
        <v>4</v>
      </c>
      <c r="AF11" s="62">
        <v>0</v>
      </c>
      <c r="AG11" s="62">
        <v>0</v>
      </c>
      <c r="AH11" s="62">
        <v>0</v>
      </c>
      <c r="AI11" s="62">
        <v>50</v>
      </c>
      <c r="AJ11" s="62">
        <v>0</v>
      </c>
    </row>
    <row r="12" spans="1:36">
      <c r="A12" s="62" t="s">
        <v>964</v>
      </c>
      <c r="B12" s="62" t="s">
        <v>305</v>
      </c>
      <c r="C12" s="62" t="s">
        <v>111</v>
      </c>
      <c r="D12" s="62" t="s">
        <v>35</v>
      </c>
      <c r="E12" s="62">
        <v>999999</v>
      </c>
      <c r="F12" s="62">
        <v>999999</v>
      </c>
      <c r="G12" s="62">
        <v>999999</v>
      </c>
      <c r="H12" s="62">
        <v>999999</v>
      </c>
      <c r="I12" s="62">
        <v>90</v>
      </c>
      <c r="J12" s="62">
        <v>90</v>
      </c>
      <c r="K12" s="62">
        <v>105</v>
      </c>
      <c r="L12" s="62">
        <v>105</v>
      </c>
      <c r="M12" s="62">
        <v>450</v>
      </c>
      <c r="N12" s="62">
        <v>450</v>
      </c>
      <c r="O12" s="62">
        <v>450</v>
      </c>
      <c r="P12" s="62">
        <v>450</v>
      </c>
      <c r="Q12" s="62">
        <v>150</v>
      </c>
      <c r="R12" s="62">
        <v>150</v>
      </c>
      <c r="S12" s="62">
        <v>150</v>
      </c>
      <c r="T12" s="62">
        <v>150</v>
      </c>
      <c r="U12" s="62">
        <v>90</v>
      </c>
      <c r="V12" s="62">
        <v>90</v>
      </c>
      <c r="W12" s="62">
        <v>90</v>
      </c>
      <c r="X12" s="62">
        <v>90</v>
      </c>
      <c r="Y12" s="62">
        <v>500</v>
      </c>
      <c r="Z12" s="62">
        <v>500</v>
      </c>
      <c r="AA12" s="62">
        <v>500</v>
      </c>
      <c r="AB12" s="62">
        <v>500</v>
      </c>
      <c r="AC12" s="62">
        <v>4</v>
      </c>
      <c r="AD12" s="62">
        <v>4</v>
      </c>
      <c r="AE12" s="62">
        <v>4</v>
      </c>
      <c r="AF12" s="62">
        <v>4</v>
      </c>
      <c r="AG12" s="62">
        <v>0</v>
      </c>
      <c r="AH12" s="62">
        <v>0</v>
      </c>
      <c r="AI12" s="62">
        <v>0</v>
      </c>
      <c r="AJ12" s="62">
        <v>0</v>
      </c>
    </row>
    <row r="13" spans="1:36">
      <c r="A13" s="62" t="s">
        <v>964</v>
      </c>
      <c r="B13" s="62" t="s">
        <v>306</v>
      </c>
      <c r="C13" s="62" t="s">
        <v>111</v>
      </c>
      <c r="D13" s="62" t="s">
        <v>36</v>
      </c>
      <c r="E13" s="62">
        <v>0</v>
      </c>
      <c r="F13" s="62">
        <v>0</v>
      </c>
      <c r="G13" s="62">
        <v>999999</v>
      </c>
      <c r="H13" s="62">
        <v>0</v>
      </c>
      <c r="I13" s="62">
        <v>0</v>
      </c>
      <c r="J13" s="62">
        <v>0</v>
      </c>
      <c r="K13" s="62">
        <v>125</v>
      </c>
      <c r="L13" s="62">
        <v>0</v>
      </c>
      <c r="M13" s="62">
        <v>0</v>
      </c>
      <c r="N13" s="62">
        <v>0</v>
      </c>
      <c r="O13" s="62">
        <v>450</v>
      </c>
      <c r="P13" s="62">
        <v>0</v>
      </c>
      <c r="Q13" s="62">
        <v>0</v>
      </c>
      <c r="R13" s="62">
        <v>0</v>
      </c>
      <c r="S13" s="62">
        <v>150</v>
      </c>
      <c r="T13" s="62">
        <v>0</v>
      </c>
      <c r="U13" s="62">
        <v>0</v>
      </c>
      <c r="V13" s="62">
        <v>0</v>
      </c>
      <c r="W13" s="62">
        <v>90</v>
      </c>
      <c r="X13" s="62">
        <v>0</v>
      </c>
      <c r="Y13" s="62">
        <v>0</v>
      </c>
      <c r="Z13" s="62">
        <v>0</v>
      </c>
      <c r="AA13" s="62">
        <v>500</v>
      </c>
      <c r="AB13" s="62">
        <v>0</v>
      </c>
      <c r="AC13" s="62">
        <v>0</v>
      </c>
      <c r="AD13" s="62">
        <v>0</v>
      </c>
      <c r="AE13" s="62">
        <v>4</v>
      </c>
      <c r="AF13" s="62">
        <v>0</v>
      </c>
      <c r="AG13" s="62">
        <v>0</v>
      </c>
      <c r="AH13" s="62">
        <v>0</v>
      </c>
      <c r="AI13" s="62">
        <v>0</v>
      </c>
      <c r="AJ13" s="62">
        <v>0</v>
      </c>
    </row>
    <row r="14" spans="1:36">
      <c r="A14" s="62" t="s">
        <v>964</v>
      </c>
      <c r="B14" s="62" t="s">
        <v>309</v>
      </c>
      <c r="C14" s="62" t="s">
        <v>111</v>
      </c>
      <c r="D14" s="62" t="s">
        <v>39</v>
      </c>
      <c r="E14" s="62">
        <v>999999</v>
      </c>
      <c r="F14" s="62">
        <v>999999</v>
      </c>
      <c r="G14" s="62">
        <v>999999</v>
      </c>
      <c r="H14" s="62">
        <v>999999</v>
      </c>
      <c r="I14" s="62">
        <v>85</v>
      </c>
      <c r="J14" s="62">
        <v>85</v>
      </c>
      <c r="K14" s="62">
        <v>95</v>
      </c>
      <c r="L14" s="62">
        <v>95</v>
      </c>
      <c r="M14" s="62">
        <v>450</v>
      </c>
      <c r="N14" s="62">
        <v>450</v>
      </c>
      <c r="O14" s="62">
        <v>450</v>
      </c>
      <c r="P14" s="62">
        <v>450</v>
      </c>
      <c r="Q14" s="62">
        <v>150</v>
      </c>
      <c r="R14" s="62">
        <v>150</v>
      </c>
      <c r="S14" s="62">
        <v>150</v>
      </c>
      <c r="T14" s="62">
        <v>150</v>
      </c>
      <c r="U14" s="62">
        <v>90</v>
      </c>
      <c r="V14" s="62">
        <v>90</v>
      </c>
      <c r="W14" s="62">
        <v>90</v>
      </c>
      <c r="X14" s="62">
        <v>90</v>
      </c>
      <c r="Y14" s="62">
        <v>500</v>
      </c>
      <c r="Z14" s="62">
        <v>500</v>
      </c>
      <c r="AA14" s="62">
        <v>500</v>
      </c>
      <c r="AB14" s="62">
        <v>500</v>
      </c>
      <c r="AC14" s="62">
        <v>4</v>
      </c>
      <c r="AD14" s="62">
        <v>4</v>
      </c>
      <c r="AE14" s="62">
        <v>4</v>
      </c>
      <c r="AF14" s="62">
        <v>4</v>
      </c>
      <c r="AG14" s="62">
        <v>0</v>
      </c>
      <c r="AH14" s="62">
        <v>0</v>
      </c>
      <c r="AI14" s="62">
        <v>0</v>
      </c>
      <c r="AJ14" s="62">
        <v>0</v>
      </c>
    </row>
    <row r="15" spans="1:36">
      <c r="A15" s="62" t="s">
        <v>972</v>
      </c>
      <c r="B15" s="62" t="s">
        <v>305</v>
      </c>
      <c r="C15" s="62" t="s">
        <v>96</v>
      </c>
      <c r="D15" s="62" t="s">
        <v>35</v>
      </c>
      <c r="E15" s="62">
        <v>0</v>
      </c>
      <c r="F15" s="62">
        <v>0</v>
      </c>
      <c r="G15" s="62">
        <v>1000</v>
      </c>
      <c r="H15" s="62">
        <v>0</v>
      </c>
      <c r="I15" s="62">
        <v>0</v>
      </c>
      <c r="J15" s="62">
        <v>0</v>
      </c>
      <c r="K15" s="62">
        <v>300</v>
      </c>
      <c r="L15" s="62">
        <v>0</v>
      </c>
      <c r="M15" s="62">
        <v>0</v>
      </c>
      <c r="N15" s="62">
        <v>0</v>
      </c>
      <c r="O15" s="62">
        <v>0</v>
      </c>
      <c r="P15" s="62">
        <v>0</v>
      </c>
      <c r="Q15" s="62">
        <v>0</v>
      </c>
      <c r="R15" s="62">
        <v>0</v>
      </c>
      <c r="S15" s="62">
        <v>0</v>
      </c>
      <c r="T15" s="62">
        <v>0</v>
      </c>
      <c r="U15" s="62">
        <v>0</v>
      </c>
      <c r="V15" s="62">
        <v>0</v>
      </c>
      <c r="W15" s="62">
        <v>0</v>
      </c>
      <c r="X15" s="62">
        <v>0</v>
      </c>
      <c r="Y15" s="62">
        <v>0</v>
      </c>
      <c r="Z15" s="62">
        <v>0</v>
      </c>
      <c r="AA15" s="62">
        <v>500</v>
      </c>
      <c r="AB15" s="62">
        <v>0</v>
      </c>
      <c r="AC15" s="62">
        <v>0</v>
      </c>
      <c r="AD15" s="62">
        <v>0</v>
      </c>
      <c r="AE15" s="62">
        <v>3</v>
      </c>
      <c r="AF15" s="62">
        <v>0</v>
      </c>
      <c r="AG15" s="62">
        <v>0</v>
      </c>
      <c r="AH15" s="62">
        <v>0</v>
      </c>
      <c r="AI15" s="62">
        <v>50</v>
      </c>
      <c r="AJ15" s="62">
        <v>0</v>
      </c>
    </row>
    <row r="16" spans="1:36">
      <c r="A16" s="62" t="s">
        <v>972</v>
      </c>
      <c r="B16" s="62" t="s">
        <v>305</v>
      </c>
      <c r="C16" s="62" t="s">
        <v>96</v>
      </c>
      <c r="D16" s="62" t="s">
        <v>35</v>
      </c>
      <c r="E16" s="62">
        <v>0</v>
      </c>
      <c r="F16" s="62">
        <v>0</v>
      </c>
      <c r="G16" s="62">
        <v>2000</v>
      </c>
      <c r="H16" s="62">
        <v>0</v>
      </c>
      <c r="I16" s="62">
        <v>0</v>
      </c>
      <c r="J16" s="62">
        <v>0</v>
      </c>
      <c r="K16" s="62">
        <v>150</v>
      </c>
      <c r="L16" s="62">
        <v>0</v>
      </c>
      <c r="M16" s="62">
        <v>0</v>
      </c>
      <c r="N16" s="62">
        <v>0</v>
      </c>
      <c r="O16" s="62">
        <v>0</v>
      </c>
      <c r="P16" s="62">
        <v>0</v>
      </c>
      <c r="Q16" s="62">
        <v>0</v>
      </c>
      <c r="R16" s="62">
        <v>0</v>
      </c>
      <c r="S16" s="62">
        <v>0</v>
      </c>
      <c r="T16" s="62">
        <v>0</v>
      </c>
      <c r="U16" s="62">
        <v>0</v>
      </c>
      <c r="V16" s="62">
        <v>0</v>
      </c>
      <c r="W16" s="62">
        <v>0</v>
      </c>
      <c r="X16" s="62">
        <v>0</v>
      </c>
      <c r="Y16" s="62">
        <v>0</v>
      </c>
      <c r="Z16" s="62">
        <v>0</v>
      </c>
      <c r="AA16" s="62">
        <v>500</v>
      </c>
      <c r="AB16" s="62">
        <v>0</v>
      </c>
      <c r="AC16" s="62">
        <v>0</v>
      </c>
      <c r="AD16" s="62">
        <v>0</v>
      </c>
      <c r="AE16" s="62">
        <v>3</v>
      </c>
      <c r="AF16" s="62">
        <v>0</v>
      </c>
      <c r="AG16" s="62">
        <v>0</v>
      </c>
      <c r="AH16" s="62">
        <v>0</v>
      </c>
      <c r="AI16" s="62">
        <v>50</v>
      </c>
      <c r="AJ16" s="62">
        <v>0</v>
      </c>
    </row>
    <row r="17" spans="1:36">
      <c r="A17" s="62" t="s">
        <v>972</v>
      </c>
      <c r="B17" s="62" t="s">
        <v>305</v>
      </c>
      <c r="C17" s="62" t="s">
        <v>96</v>
      </c>
      <c r="D17" s="62" t="s">
        <v>35</v>
      </c>
      <c r="E17" s="62">
        <v>99999</v>
      </c>
      <c r="F17" s="62">
        <v>99999</v>
      </c>
      <c r="G17" s="62">
        <v>99999</v>
      </c>
      <c r="H17" s="62">
        <v>0</v>
      </c>
      <c r="I17" s="62">
        <v>100</v>
      </c>
      <c r="J17" s="62">
        <v>100</v>
      </c>
      <c r="K17" s="62">
        <v>100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400</v>
      </c>
      <c r="Z17" s="62">
        <v>500</v>
      </c>
      <c r="AA17" s="62">
        <v>500</v>
      </c>
      <c r="AB17" s="62">
        <v>0</v>
      </c>
      <c r="AC17" s="62">
        <v>1</v>
      </c>
      <c r="AD17" s="62">
        <v>2</v>
      </c>
      <c r="AE17" s="62">
        <v>3</v>
      </c>
      <c r="AF17" s="62">
        <v>0</v>
      </c>
      <c r="AG17" s="62">
        <v>50</v>
      </c>
      <c r="AH17" s="62">
        <v>50</v>
      </c>
      <c r="AI17" s="62">
        <v>50</v>
      </c>
      <c r="AJ17" s="62">
        <v>0</v>
      </c>
    </row>
    <row r="18" spans="1:36">
      <c r="A18" s="62" t="s">
        <v>964</v>
      </c>
      <c r="B18" s="62" t="s">
        <v>311</v>
      </c>
      <c r="C18" s="62" t="s">
        <v>111</v>
      </c>
      <c r="D18" s="62" t="s">
        <v>310</v>
      </c>
      <c r="E18" s="62">
        <v>0</v>
      </c>
      <c r="F18" s="62">
        <v>0</v>
      </c>
      <c r="G18" s="62">
        <v>99999</v>
      </c>
      <c r="H18" s="62">
        <v>0</v>
      </c>
      <c r="I18" s="62">
        <v>0</v>
      </c>
      <c r="J18" s="62">
        <v>0</v>
      </c>
      <c r="K18" s="62">
        <v>125</v>
      </c>
      <c r="L18" s="62">
        <v>0</v>
      </c>
      <c r="M18" s="62">
        <v>0</v>
      </c>
      <c r="N18" s="62">
        <v>0</v>
      </c>
      <c r="O18" s="62">
        <v>450</v>
      </c>
      <c r="P18" s="62">
        <v>0</v>
      </c>
      <c r="Q18" s="62">
        <v>0</v>
      </c>
      <c r="R18" s="62">
        <v>0</v>
      </c>
      <c r="S18" s="62">
        <v>150</v>
      </c>
      <c r="T18" s="62">
        <v>0</v>
      </c>
      <c r="U18" s="62">
        <v>0</v>
      </c>
      <c r="V18" s="62">
        <v>0</v>
      </c>
      <c r="W18" s="62">
        <v>90</v>
      </c>
      <c r="X18" s="62">
        <v>0</v>
      </c>
      <c r="Y18" s="62">
        <v>0</v>
      </c>
      <c r="Z18" s="62">
        <v>0</v>
      </c>
      <c r="AA18" s="62">
        <v>500</v>
      </c>
      <c r="AB18" s="62">
        <v>0</v>
      </c>
      <c r="AC18" s="62">
        <v>0</v>
      </c>
      <c r="AD18" s="62">
        <v>0</v>
      </c>
      <c r="AE18" s="62">
        <v>4</v>
      </c>
      <c r="AF18" s="62">
        <v>0</v>
      </c>
      <c r="AG18" s="62">
        <v>0</v>
      </c>
      <c r="AH18" s="62">
        <v>0</v>
      </c>
      <c r="AI18" s="62">
        <v>0</v>
      </c>
      <c r="AJ18" s="62">
        <v>0</v>
      </c>
    </row>
    <row r="19" spans="1:36">
      <c r="A19" s="62" t="s">
        <v>964</v>
      </c>
      <c r="B19" s="62" t="s">
        <v>314</v>
      </c>
      <c r="C19" s="62" t="s">
        <v>111</v>
      </c>
      <c r="D19" s="62" t="s">
        <v>37</v>
      </c>
      <c r="E19" s="62">
        <v>0</v>
      </c>
      <c r="F19" s="62">
        <v>0</v>
      </c>
      <c r="G19" s="62">
        <v>999999</v>
      </c>
      <c r="H19" s="62">
        <v>0</v>
      </c>
      <c r="I19" s="62">
        <v>0</v>
      </c>
      <c r="J19" s="62">
        <v>0</v>
      </c>
      <c r="K19" s="62">
        <v>125</v>
      </c>
      <c r="L19" s="62">
        <v>0</v>
      </c>
      <c r="M19" s="62">
        <v>0</v>
      </c>
      <c r="N19" s="62">
        <v>0</v>
      </c>
      <c r="O19" s="62">
        <v>300</v>
      </c>
      <c r="P19" s="62">
        <v>0</v>
      </c>
      <c r="Q19" s="62">
        <v>0</v>
      </c>
      <c r="R19" s="62">
        <v>0</v>
      </c>
      <c r="S19" s="62">
        <v>150</v>
      </c>
      <c r="T19" s="62">
        <v>0</v>
      </c>
      <c r="U19" s="62">
        <v>0</v>
      </c>
      <c r="V19" s="62">
        <v>0</v>
      </c>
      <c r="W19" s="62">
        <v>90</v>
      </c>
      <c r="X19" s="62">
        <v>0</v>
      </c>
      <c r="Y19" s="62">
        <v>0</v>
      </c>
      <c r="Z19" s="62">
        <v>0</v>
      </c>
      <c r="AA19" s="62">
        <v>300</v>
      </c>
      <c r="AB19" s="62">
        <v>0</v>
      </c>
      <c r="AC19" s="62">
        <v>0</v>
      </c>
      <c r="AD19" s="62">
        <v>0</v>
      </c>
      <c r="AE19" s="62">
        <v>0</v>
      </c>
      <c r="AF19" s="62">
        <v>0</v>
      </c>
      <c r="AG19" s="62">
        <v>0</v>
      </c>
      <c r="AH19" s="62">
        <v>0</v>
      </c>
      <c r="AI19" s="62">
        <v>0</v>
      </c>
      <c r="AJ19" s="62">
        <v>0</v>
      </c>
    </row>
    <row r="20" spans="1:36">
      <c r="A20" s="62" t="s">
        <v>967</v>
      </c>
      <c r="B20" s="62" t="s">
        <v>533</v>
      </c>
      <c r="C20" s="62" t="s">
        <v>113</v>
      </c>
      <c r="D20" s="62" t="s">
        <v>43</v>
      </c>
      <c r="E20" s="62">
        <v>999999</v>
      </c>
      <c r="F20" s="62">
        <v>999999</v>
      </c>
      <c r="G20" s="62">
        <v>999999</v>
      </c>
      <c r="H20" s="62">
        <v>999999</v>
      </c>
      <c r="I20" s="62">
        <v>75</v>
      </c>
      <c r="J20" s="62">
        <v>75</v>
      </c>
      <c r="K20" s="62">
        <v>85</v>
      </c>
      <c r="L20" s="62">
        <v>85</v>
      </c>
      <c r="M20" s="62">
        <v>400</v>
      </c>
      <c r="N20" s="62">
        <v>400</v>
      </c>
      <c r="O20" s="62">
        <v>400</v>
      </c>
      <c r="P20" s="62">
        <v>400</v>
      </c>
      <c r="Q20" s="62">
        <v>110</v>
      </c>
      <c r="R20" s="62">
        <v>110</v>
      </c>
      <c r="S20" s="62">
        <v>110</v>
      </c>
      <c r="T20" s="62">
        <v>110</v>
      </c>
      <c r="U20" s="62">
        <v>0</v>
      </c>
      <c r="V20" s="62">
        <v>0</v>
      </c>
      <c r="W20" s="62">
        <v>0</v>
      </c>
      <c r="X20" s="62">
        <v>0</v>
      </c>
      <c r="Y20" s="62">
        <v>500</v>
      </c>
      <c r="Z20" s="62">
        <v>500</v>
      </c>
      <c r="AA20" s="62">
        <v>500</v>
      </c>
      <c r="AB20" s="62">
        <v>500</v>
      </c>
      <c r="AC20" s="62">
        <v>4</v>
      </c>
      <c r="AD20" s="62">
        <v>4</v>
      </c>
      <c r="AE20" s="62">
        <v>4</v>
      </c>
      <c r="AF20" s="62">
        <v>4</v>
      </c>
      <c r="AG20" s="62">
        <v>0</v>
      </c>
      <c r="AH20" s="62">
        <v>0</v>
      </c>
      <c r="AI20" s="62">
        <v>0</v>
      </c>
      <c r="AJ20" s="62">
        <v>0</v>
      </c>
    </row>
    <row r="21" spans="1:36">
      <c r="A21" s="62" t="s">
        <v>972</v>
      </c>
      <c r="B21" s="62" t="s">
        <v>306</v>
      </c>
      <c r="C21" s="62" t="s">
        <v>96</v>
      </c>
      <c r="D21" s="62" t="s">
        <v>36</v>
      </c>
      <c r="E21" s="62">
        <v>1000</v>
      </c>
      <c r="F21" s="62">
        <v>1000</v>
      </c>
      <c r="G21" s="62">
        <v>1000</v>
      </c>
      <c r="H21" s="62">
        <v>0</v>
      </c>
      <c r="I21" s="62">
        <v>300</v>
      </c>
      <c r="J21" s="62">
        <v>300</v>
      </c>
      <c r="K21" s="62">
        <v>375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500</v>
      </c>
      <c r="Z21" s="62">
        <v>500</v>
      </c>
      <c r="AA21" s="62">
        <v>500</v>
      </c>
      <c r="AB21" s="62">
        <v>0</v>
      </c>
      <c r="AC21" s="62">
        <v>2</v>
      </c>
      <c r="AD21" s="62">
        <v>3</v>
      </c>
      <c r="AE21" s="62">
        <v>3</v>
      </c>
      <c r="AF21" s="62">
        <v>0</v>
      </c>
      <c r="AG21" s="62">
        <v>50</v>
      </c>
      <c r="AH21" s="62">
        <v>50</v>
      </c>
      <c r="AI21" s="62">
        <v>50</v>
      </c>
      <c r="AJ21" s="62">
        <v>0</v>
      </c>
    </row>
    <row r="22" spans="1:36">
      <c r="A22" s="62" t="s">
        <v>972</v>
      </c>
      <c r="B22" s="62" t="s">
        <v>306</v>
      </c>
      <c r="C22" s="62" t="s">
        <v>96</v>
      </c>
      <c r="D22" s="62" t="s">
        <v>36</v>
      </c>
      <c r="E22" s="62">
        <v>99999</v>
      </c>
      <c r="F22" s="62">
        <v>99999</v>
      </c>
      <c r="G22" s="62">
        <v>2000</v>
      </c>
      <c r="H22" s="62">
        <v>0</v>
      </c>
      <c r="I22" s="62">
        <v>150</v>
      </c>
      <c r="J22" s="62">
        <v>150</v>
      </c>
      <c r="K22" s="62">
        <v>187.5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500</v>
      </c>
      <c r="Z22" s="62">
        <v>500</v>
      </c>
      <c r="AA22" s="62">
        <v>500</v>
      </c>
      <c r="AB22" s="62">
        <v>0</v>
      </c>
      <c r="AC22" s="62">
        <v>2</v>
      </c>
      <c r="AD22" s="62">
        <v>3</v>
      </c>
      <c r="AE22" s="62">
        <v>3</v>
      </c>
      <c r="AF22" s="62">
        <v>0</v>
      </c>
      <c r="AG22" s="62">
        <v>50</v>
      </c>
      <c r="AH22" s="62">
        <v>50</v>
      </c>
      <c r="AI22" s="62">
        <v>50</v>
      </c>
      <c r="AJ22" s="62">
        <v>0</v>
      </c>
    </row>
    <row r="23" spans="1:36">
      <c r="A23" s="62" t="s">
        <v>972</v>
      </c>
      <c r="B23" s="62" t="s">
        <v>308</v>
      </c>
      <c r="C23" s="62" t="s">
        <v>96</v>
      </c>
      <c r="D23" s="62" t="s">
        <v>307</v>
      </c>
      <c r="E23" s="62">
        <v>0</v>
      </c>
      <c r="F23" s="62">
        <v>0</v>
      </c>
      <c r="G23" s="62">
        <v>1000</v>
      </c>
      <c r="H23" s="62">
        <v>0</v>
      </c>
      <c r="I23" s="62">
        <v>0</v>
      </c>
      <c r="J23" s="62">
        <v>0</v>
      </c>
      <c r="K23" s="62">
        <v>500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62">
        <v>0</v>
      </c>
      <c r="S23" s="62">
        <v>0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500</v>
      </c>
      <c r="AB23" s="62">
        <v>0</v>
      </c>
      <c r="AC23" s="62">
        <v>0</v>
      </c>
      <c r="AD23" s="62">
        <v>0</v>
      </c>
      <c r="AE23" s="62">
        <v>3</v>
      </c>
      <c r="AF23" s="62">
        <v>0</v>
      </c>
      <c r="AG23" s="62">
        <v>0</v>
      </c>
      <c r="AH23" s="62">
        <v>0</v>
      </c>
      <c r="AI23" s="62">
        <v>50</v>
      </c>
      <c r="AJ23" s="62">
        <v>0</v>
      </c>
    </row>
    <row r="24" spans="1:36">
      <c r="A24" s="62" t="s">
        <v>972</v>
      </c>
      <c r="B24" s="62" t="s">
        <v>308</v>
      </c>
      <c r="C24" s="62" t="s">
        <v>96</v>
      </c>
      <c r="D24" s="62" t="s">
        <v>307</v>
      </c>
      <c r="E24" s="62">
        <v>0</v>
      </c>
      <c r="F24" s="62">
        <v>0</v>
      </c>
      <c r="G24" s="62">
        <v>2000</v>
      </c>
      <c r="H24" s="62">
        <v>0</v>
      </c>
      <c r="I24" s="62">
        <v>0</v>
      </c>
      <c r="J24" s="62">
        <v>0</v>
      </c>
      <c r="K24" s="62">
        <v>250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500</v>
      </c>
      <c r="AB24" s="62">
        <v>0</v>
      </c>
      <c r="AC24" s="62">
        <v>0</v>
      </c>
      <c r="AD24" s="62">
        <v>0</v>
      </c>
      <c r="AE24" s="62">
        <v>3</v>
      </c>
      <c r="AF24" s="62">
        <v>0</v>
      </c>
      <c r="AG24" s="62">
        <v>0</v>
      </c>
      <c r="AH24" s="62">
        <v>0</v>
      </c>
      <c r="AI24" s="62">
        <v>50</v>
      </c>
      <c r="AJ24" s="62">
        <v>0</v>
      </c>
    </row>
    <row r="25" spans="1:36">
      <c r="A25" s="62" t="s">
        <v>972</v>
      </c>
      <c r="B25" s="62" t="s">
        <v>308</v>
      </c>
      <c r="C25" s="62" t="s">
        <v>96</v>
      </c>
      <c r="D25" s="62" t="s">
        <v>307</v>
      </c>
      <c r="E25" s="62">
        <v>0</v>
      </c>
      <c r="F25" s="62">
        <v>0</v>
      </c>
      <c r="G25" s="62">
        <v>99999</v>
      </c>
      <c r="H25" s="62">
        <v>0</v>
      </c>
      <c r="I25" s="62">
        <v>0</v>
      </c>
      <c r="J25" s="62">
        <v>0</v>
      </c>
      <c r="K25" s="62">
        <v>167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2">
        <v>0</v>
      </c>
      <c r="X25" s="62">
        <v>0</v>
      </c>
      <c r="Y25" s="62">
        <v>0</v>
      </c>
      <c r="Z25" s="62">
        <v>0</v>
      </c>
      <c r="AA25" s="62">
        <v>500</v>
      </c>
      <c r="AB25" s="62">
        <v>0</v>
      </c>
      <c r="AC25" s="62">
        <v>0</v>
      </c>
      <c r="AD25" s="62">
        <v>0</v>
      </c>
      <c r="AE25" s="62">
        <v>3</v>
      </c>
      <c r="AF25" s="62">
        <v>0</v>
      </c>
      <c r="AG25" s="62">
        <v>0</v>
      </c>
      <c r="AH25" s="62">
        <v>0</v>
      </c>
      <c r="AI25" s="62">
        <v>50</v>
      </c>
      <c r="AJ25" s="62">
        <v>0</v>
      </c>
    </row>
    <row r="26" spans="1:36">
      <c r="A26" s="62" t="s">
        <v>972</v>
      </c>
      <c r="B26" s="62" t="s">
        <v>309</v>
      </c>
      <c r="C26" s="62" t="s">
        <v>96</v>
      </c>
      <c r="D26" s="62" t="s">
        <v>39</v>
      </c>
      <c r="E26" s="62">
        <v>0</v>
      </c>
      <c r="F26" s="62">
        <v>0</v>
      </c>
      <c r="G26" s="62">
        <v>1000</v>
      </c>
      <c r="H26" s="62">
        <v>0</v>
      </c>
      <c r="I26" s="62">
        <v>0</v>
      </c>
      <c r="J26" s="62">
        <v>0</v>
      </c>
      <c r="K26" s="62">
        <v>375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62">
        <v>500</v>
      </c>
      <c r="AB26" s="62">
        <v>0</v>
      </c>
      <c r="AC26" s="62">
        <v>0</v>
      </c>
      <c r="AD26" s="62">
        <v>0</v>
      </c>
      <c r="AE26" s="62">
        <v>3</v>
      </c>
      <c r="AF26" s="62">
        <v>0</v>
      </c>
      <c r="AG26" s="62">
        <v>0</v>
      </c>
      <c r="AH26" s="62">
        <v>0</v>
      </c>
      <c r="AI26" s="62">
        <v>50</v>
      </c>
      <c r="AJ26" s="62">
        <v>0</v>
      </c>
    </row>
    <row r="27" spans="1:36">
      <c r="A27" s="62" t="s">
        <v>972</v>
      </c>
      <c r="B27" s="62" t="s">
        <v>309</v>
      </c>
      <c r="C27" s="62" t="s">
        <v>96</v>
      </c>
      <c r="D27" s="62" t="s">
        <v>39</v>
      </c>
      <c r="E27" s="62">
        <v>0</v>
      </c>
      <c r="F27" s="62">
        <v>0</v>
      </c>
      <c r="G27" s="62">
        <v>2000</v>
      </c>
      <c r="H27" s="62">
        <v>0</v>
      </c>
      <c r="I27" s="62">
        <v>0</v>
      </c>
      <c r="J27" s="62">
        <v>0</v>
      </c>
      <c r="K27" s="62">
        <v>187.5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62">
        <v>500</v>
      </c>
      <c r="AB27" s="62">
        <v>0</v>
      </c>
      <c r="AC27" s="62">
        <v>0</v>
      </c>
      <c r="AD27" s="62">
        <v>0</v>
      </c>
      <c r="AE27" s="62">
        <v>3</v>
      </c>
      <c r="AF27" s="62">
        <v>0</v>
      </c>
      <c r="AG27" s="62">
        <v>0</v>
      </c>
      <c r="AH27" s="62">
        <v>0</v>
      </c>
      <c r="AI27" s="62">
        <v>50</v>
      </c>
      <c r="AJ27" s="62">
        <v>0</v>
      </c>
    </row>
    <row r="28" spans="1:36">
      <c r="A28" s="62" t="s">
        <v>972</v>
      </c>
      <c r="B28" s="62" t="s">
        <v>309</v>
      </c>
      <c r="C28" s="62" t="s">
        <v>96</v>
      </c>
      <c r="D28" s="62" t="s">
        <v>39</v>
      </c>
      <c r="E28" s="62">
        <v>99999</v>
      </c>
      <c r="F28" s="62">
        <v>99999</v>
      </c>
      <c r="G28" s="62">
        <v>99999</v>
      </c>
      <c r="H28" s="62">
        <v>0</v>
      </c>
      <c r="I28" s="62">
        <v>125</v>
      </c>
      <c r="J28" s="62">
        <v>125</v>
      </c>
      <c r="K28" s="62">
        <v>125</v>
      </c>
      <c r="L28" s="62">
        <v>0</v>
      </c>
      <c r="M28" s="62">
        <v>0</v>
      </c>
      <c r="N28" s="62">
        <v>0</v>
      </c>
      <c r="O28" s="62">
        <v>0</v>
      </c>
      <c r="P28" s="62">
        <v>0</v>
      </c>
      <c r="Q28" s="62">
        <v>0</v>
      </c>
      <c r="R28" s="62">
        <v>0</v>
      </c>
      <c r="S28" s="62">
        <v>0</v>
      </c>
      <c r="T28" s="62">
        <v>0</v>
      </c>
      <c r="U28" s="62">
        <v>0</v>
      </c>
      <c r="V28" s="62">
        <v>0</v>
      </c>
      <c r="W28" s="62">
        <v>0</v>
      </c>
      <c r="X28" s="62">
        <v>0</v>
      </c>
      <c r="Y28" s="62">
        <v>500</v>
      </c>
      <c r="Z28" s="62">
        <v>500</v>
      </c>
      <c r="AA28" s="62">
        <v>500</v>
      </c>
      <c r="AB28" s="62">
        <v>0</v>
      </c>
      <c r="AC28" s="62">
        <v>1</v>
      </c>
      <c r="AD28" s="62">
        <v>2</v>
      </c>
      <c r="AE28" s="62">
        <v>3</v>
      </c>
      <c r="AF28" s="62">
        <v>0</v>
      </c>
      <c r="AG28" s="62">
        <v>50</v>
      </c>
      <c r="AH28" s="62">
        <v>50</v>
      </c>
      <c r="AI28" s="62">
        <v>50</v>
      </c>
      <c r="AJ28" s="62">
        <v>0</v>
      </c>
    </row>
    <row r="29" spans="1:36">
      <c r="A29" s="62" t="s">
        <v>972</v>
      </c>
      <c r="B29" s="62" t="s">
        <v>311</v>
      </c>
      <c r="C29" s="62" t="s">
        <v>96</v>
      </c>
      <c r="D29" s="62" t="s">
        <v>310</v>
      </c>
      <c r="E29" s="62">
        <v>0</v>
      </c>
      <c r="F29" s="62">
        <v>0</v>
      </c>
      <c r="G29" s="62">
        <v>2000</v>
      </c>
      <c r="H29" s="62">
        <v>0</v>
      </c>
      <c r="I29" s="62">
        <v>0</v>
      </c>
      <c r="J29" s="62">
        <v>0</v>
      </c>
      <c r="K29" s="62">
        <v>187.5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62">
        <v>500</v>
      </c>
      <c r="AB29" s="62">
        <v>0</v>
      </c>
      <c r="AC29" s="62">
        <v>0</v>
      </c>
      <c r="AD29" s="62">
        <v>0</v>
      </c>
      <c r="AE29" s="62">
        <v>3</v>
      </c>
      <c r="AF29" s="62">
        <v>0</v>
      </c>
      <c r="AG29" s="62">
        <v>0</v>
      </c>
      <c r="AH29" s="62">
        <v>0</v>
      </c>
      <c r="AI29" s="62">
        <v>50</v>
      </c>
      <c r="AJ29" s="62">
        <v>0</v>
      </c>
    </row>
    <row r="30" spans="1:36">
      <c r="A30" s="62" t="s">
        <v>972</v>
      </c>
      <c r="B30" s="62" t="s">
        <v>311</v>
      </c>
      <c r="C30" s="62" t="s">
        <v>96</v>
      </c>
      <c r="D30" s="62" t="s">
        <v>310</v>
      </c>
      <c r="E30" s="62">
        <v>1000</v>
      </c>
      <c r="F30" s="62">
        <v>1000</v>
      </c>
      <c r="G30" s="62">
        <v>1000</v>
      </c>
      <c r="H30" s="62">
        <v>0</v>
      </c>
      <c r="I30" s="62">
        <v>250</v>
      </c>
      <c r="J30" s="62">
        <v>250</v>
      </c>
      <c r="K30" s="62">
        <v>375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500</v>
      </c>
      <c r="Z30" s="62">
        <v>500</v>
      </c>
      <c r="AA30" s="62">
        <v>500</v>
      </c>
      <c r="AB30" s="62">
        <v>0</v>
      </c>
      <c r="AC30" s="62">
        <v>2</v>
      </c>
      <c r="AD30" s="62">
        <v>3</v>
      </c>
      <c r="AE30" s="62">
        <v>3</v>
      </c>
      <c r="AF30" s="62">
        <v>0</v>
      </c>
      <c r="AG30" s="62">
        <v>50</v>
      </c>
      <c r="AH30" s="62">
        <v>50</v>
      </c>
      <c r="AI30" s="62">
        <v>50</v>
      </c>
      <c r="AJ30" s="62">
        <v>0</v>
      </c>
    </row>
    <row r="31" spans="1:36">
      <c r="A31" s="62" t="s">
        <v>972</v>
      </c>
      <c r="B31" s="62" t="s">
        <v>311</v>
      </c>
      <c r="C31" s="62" t="s">
        <v>96</v>
      </c>
      <c r="D31" s="62" t="s">
        <v>310</v>
      </c>
      <c r="E31" s="62">
        <v>99999</v>
      </c>
      <c r="F31" s="62">
        <v>99999</v>
      </c>
      <c r="G31" s="62">
        <v>99999</v>
      </c>
      <c r="H31" s="62">
        <v>0</v>
      </c>
      <c r="I31" s="62">
        <v>125</v>
      </c>
      <c r="J31" s="62">
        <v>125</v>
      </c>
      <c r="K31" s="62">
        <v>125</v>
      </c>
      <c r="L31" s="62">
        <v>0</v>
      </c>
      <c r="M31" s="62">
        <v>0</v>
      </c>
      <c r="N31" s="62">
        <v>0</v>
      </c>
      <c r="O31" s="62">
        <v>0</v>
      </c>
      <c r="P31" s="62">
        <v>0</v>
      </c>
      <c r="Q31" s="62">
        <v>0</v>
      </c>
      <c r="R31" s="62">
        <v>0</v>
      </c>
      <c r="S31" s="62">
        <v>0</v>
      </c>
      <c r="T31" s="62">
        <v>0</v>
      </c>
      <c r="U31" s="62">
        <v>0</v>
      </c>
      <c r="V31" s="62">
        <v>0</v>
      </c>
      <c r="W31" s="62">
        <v>0</v>
      </c>
      <c r="X31" s="62">
        <v>0</v>
      </c>
      <c r="Y31" s="62">
        <v>500</v>
      </c>
      <c r="Z31" s="62">
        <v>500</v>
      </c>
      <c r="AA31" s="62">
        <v>500</v>
      </c>
      <c r="AB31" s="62">
        <v>0</v>
      </c>
      <c r="AC31" s="62">
        <v>2</v>
      </c>
      <c r="AD31" s="62">
        <v>3</v>
      </c>
      <c r="AE31" s="62">
        <v>3</v>
      </c>
      <c r="AF31" s="62">
        <v>0</v>
      </c>
      <c r="AG31" s="62">
        <v>50</v>
      </c>
      <c r="AH31" s="62">
        <v>50</v>
      </c>
      <c r="AI31" s="62">
        <v>50</v>
      </c>
      <c r="AJ31" s="62">
        <v>0</v>
      </c>
    </row>
    <row r="32" spans="1:36">
      <c r="A32" s="62" t="s">
        <v>972</v>
      </c>
      <c r="B32" s="62" t="s">
        <v>314</v>
      </c>
      <c r="C32" s="62" t="s">
        <v>96</v>
      </c>
      <c r="D32" s="62" t="s">
        <v>37</v>
      </c>
      <c r="E32" s="62">
        <v>0</v>
      </c>
      <c r="F32" s="62">
        <v>0</v>
      </c>
      <c r="G32" s="62">
        <v>1000</v>
      </c>
      <c r="H32" s="62">
        <v>0</v>
      </c>
      <c r="I32" s="62">
        <v>0</v>
      </c>
      <c r="J32" s="62">
        <v>0</v>
      </c>
      <c r="K32" s="62">
        <v>250</v>
      </c>
      <c r="L32" s="62">
        <v>0</v>
      </c>
      <c r="M32" s="62">
        <v>0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250</v>
      </c>
      <c r="AB32" s="62">
        <v>0</v>
      </c>
      <c r="AC32" s="62">
        <v>0</v>
      </c>
      <c r="AD32" s="62">
        <v>0</v>
      </c>
      <c r="AE32" s="62">
        <v>3</v>
      </c>
      <c r="AF32" s="62">
        <v>0</v>
      </c>
      <c r="AG32" s="62">
        <v>0</v>
      </c>
      <c r="AH32" s="62">
        <v>0</v>
      </c>
      <c r="AI32" s="62">
        <v>100</v>
      </c>
      <c r="AJ32" s="62">
        <v>0</v>
      </c>
    </row>
    <row r="33" spans="1:36">
      <c r="A33" s="62" t="s">
        <v>972</v>
      </c>
      <c r="B33" s="62" t="s">
        <v>314</v>
      </c>
      <c r="C33" s="62" t="s">
        <v>96</v>
      </c>
      <c r="D33" s="62" t="s">
        <v>37</v>
      </c>
      <c r="E33" s="62">
        <v>0</v>
      </c>
      <c r="F33" s="62">
        <v>0</v>
      </c>
      <c r="G33" s="62">
        <v>99999</v>
      </c>
      <c r="H33" s="62">
        <v>0</v>
      </c>
      <c r="I33" s="62">
        <v>0</v>
      </c>
      <c r="J33" s="62">
        <v>0</v>
      </c>
      <c r="K33" s="62">
        <v>125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250</v>
      </c>
      <c r="AB33" s="62">
        <v>0</v>
      </c>
      <c r="AC33" s="62">
        <v>0</v>
      </c>
      <c r="AD33" s="62">
        <v>0</v>
      </c>
      <c r="AE33" s="62">
        <v>3</v>
      </c>
      <c r="AF33" s="62">
        <v>0</v>
      </c>
      <c r="AG33" s="62">
        <v>0</v>
      </c>
      <c r="AH33" s="62">
        <v>0</v>
      </c>
      <c r="AI33" s="62">
        <v>100</v>
      </c>
      <c r="AJ33" s="62">
        <v>0</v>
      </c>
    </row>
    <row r="34" spans="1:36">
      <c r="A34" s="62" t="s">
        <v>967</v>
      </c>
      <c r="B34" s="62" t="s">
        <v>305</v>
      </c>
      <c r="C34" s="62" t="s">
        <v>113</v>
      </c>
      <c r="D34" s="62" t="s">
        <v>35</v>
      </c>
      <c r="E34" s="62">
        <v>999999</v>
      </c>
      <c r="F34" s="62">
        <v>999999</v>
      </c>
      <c r="G34" s="62">
        <v>999999</v>
      </c>
      <c r="H34" s="62">
        <v>999999</v>
      </c>
      <c r="I34" s="62">
        <v>80</v>
      </c>
      <c r="J34" s="62">
        <v>80</v>
      </c>
      <c r="K34" s="62">
        <v>95</v>
      </c>
      <c r="L34" s="62">
        <v>95</v>
      </c>
      <c r="M34" s="62">
        <v>400</v>
      </c>
      <c r="N34" s="62">
        <v>400</v>
      </c>
      <c r="O34" s="62">
        <v>400</v>
      </c>
      <c r="P34" s="62">
        <v>400</v>
      </c>
      <c r="Q34" s="62">
        <v>110</v>
      </c>
      <c r="R34" s="62">
        <v>110</v>
      </c>
      <c r="S34" s="62">
        <v>110</v>
      </c>
      <c r="T34" s="62">
        <v>110</v>
      </c>
      <c r="U34" s="62">
        <v>90</v>
      </c>
      <c r="V34" s="62">
        <v>90</v>
      </c>
      <c r="W34" s="62">
        <v>90</v>
      </c>
      <c r="X34" s="62">
        <v>90</v>
      </c>
      <c r="Y34" s="62">
        <v>500</v>
      </c>
      <c r="Z34" s="62">
        <v>500</v>
      </c>
      <c r="AA34" s="62">
        <v>500</v>
      </c>
      <c r="AB34" s="62">
        <v>500</v>
      </c>
      <c r="AC34" s="62">
        <v>4</v>
      </c>
      <c r="AD34" s="62">
        <v>4</v>
      </c>
      <c r="AE34" s="62">
        <v>4</v>
      </c>
      <c r="AF34" s="62">
        <v>4</v>
      </c>
      <c r="AG34" s="62">
        <v>0</v>
      </c>
      <c r="AH34" s="62">
        <v>0</v>
      </c>
      <c r="AI34" s="62">
        <v>0</v>
      </c>
      <c r="AJ34" s="62">
        <v>0</v>
      </c>
    </row>
    <row r="35" spans="1:36">
      <c r="A35" s="62" t="s">
        <v>967</v>
      </c>
      <c r="B35" s="62" t="s">
        <v>306</v>
      </c>
      <c r="C35" s="62" t="s">
        <v>113</v>
      </c>
      <c r="D35" s="62" t="s">
        <v>36</v>
      </c>
      <c r="E35" s="62">
        <v>999999</v>
      </c>
      <c r="F35" s="62">
        <v>999999</v>
      </c>
      <c r="G35" s="62">
        <v>999999</v>
      </c>
      <c r="H35" s="62">
        <v>999999</v>
      </c>
      <c r="I35" s="62">
        <v>110</v>
      </c>
      <c r="J35" s="62">
        <v>110</v>
      </c>
      <c r="K35" s="62">
        <v>110</v>
      </c>
      <c r="L35" s="62">
        <v>110</v>
      </c>
      <c r="M35" s="62">
        <v>400</v>
      </c>
      <c r="N35" s="62">
        <v>400</v>
      </c>
      <c r="O35" s="62">
        <v>400</v>
      </c>
      <c r="P35" s="62">
        <v>400</v>
      </c>
      <c r="Q35" s="62">
        <v>110</v>
      </c>
      <c r="R35" s="62">
        <v>110</v>
      </c>
      <c r="S35" s="62">
        <v>110</v>
      </c>
      <c r="T35" s="62">
        <v>110</v>
      </c>
      <c r="U35" s="62">
        <v>0</v>
      </c>
      <c r="V35" s="62">
        <v>0</v>
      </c>
      <c r="W35" s="62">
        <v>0</v>
      </c>
      <c r="X35" s="62">
        <v>0</v>
      </c>
      <c r="Y35" s="62">
        <v>500</v>
      </c>
      <c r="Z35" s="62">
        <v>500</v>
      </c>
      <c r="AA35" s="62">
        <v>500</v>
      </c>
      <c r="AB35" s="62">
        <v>500</v>
      </c>
      <c r="AC35" s="62">
        <v>4</v>
      </c>
      <c r="AD35" s="62">
        <v>4</v>
      </c>
      <c r="AE35" s="62">
        <v>4</v>
      </c>
      <c r="AF35" s="62">
        <v>4</v>
      </c>
      <c r="AG35" s="62">
        <v>0</v>
      </c>
      <c r="AH35" s="62">
        <v>0</v>
      </c>
      <c r="AI35" s="62">
        <v>0</v>
      </c>
      <c r="AJ35" s="62">
        <v>0</v>
      </c>
    </row>
    <row r="36" spans="1:36">
      <c r="A36" s="62" t="s">
        <v>967</v>
      </c>
      <c r="B36" s="62" t="s">
        <v>309</v>
      </c>
      <c r="C36" s="62" t="s">
        <v>113</v>
      </c>
      <c r="D36" s="62" t="s">
        <v>39</v>
      </c>
      <c r="E36" s="62">
        <v>999999</v>
      </c>
      <c r="F36" s="62">
        <v>999999</v>
      </c>
      <c r="G36" s="62">
        <v>999999</v>
      </c>
      <c r="H36" s="62">
        <v>999999</v>
      </c>
      <c r="I36" s="62">
        <v>70</v>
      </c>
      <c r="J36" s="62">
        <v>70</v>
      </c>
      <c r="K36" s="62">
        <v>80</v>
      </c>
      <c r="L36" s="62">
        <v>80</v>
      </c>
      <c r="M36" s="62">
        <v>400</v>
      </c>
      <c r="N36" s="62">
        <v>400</v>
      </c>
      <c r="O36" s="62">
        <v>400</v>
      </c>
      <c r="P36" s="62">
        <v>400</v>
      </c>
      <c r="Q36" s="62">
        <v>110</v>
      </c>
      <c r="R36" s="62">
        <v>110</v>
      </c>
      <c r="S36" s="62">
        <v>110</v>
      </c>
      <c r="T36" s="62">
        <v>110</v>
      </c>
      <c r="U36" s="62">
        <v>90</v>
      </c>
      <c r="V36" s="62">
        <v>90</v>
      </c>
      <c r="W36" s="62">
        <v>90</v>
      </c>
      <c r="X36" s="62">
        <v>90</v>
      </c>
      <c r="Y36" s="62">
        <v>500</v>
      </c>
      <c r="Z36" s="62">
        <v>500</v>
      </c>
      <c r="AA36" s="62">
        <v>500</v>
      </c>
      <c r="AB36" s="62">
        <v>500</v>
      </c>
      <c r="AC36" s="62">
        <v>4</v>
      </c>
      <c r="AD36" s="62">
        <v>4</v>
      </c>
      <c r="AE36" s="62">
        <v>4</v>
      </c>
      <c r="AF36" s="62">
        <v>4</v>
      </c>
      <c r="AG36" s="62">
        <v>0</v>
      </c>
      <c r="AH36" s="62">
        <v>0</v>
      </c>
      <c r="AI36" s="62">
        <v>0</v>
      </c>
      <c r="AJ36" s="62">
        <v>0</v>
      </c>
    </row>
    <row r="37" spans="1:36">
      <c r="A37" s="62" t="s">
        <v>967</v>
      </c>
      <c r="B37" s="62" t="s">
        <v>311</v>
      </c>
      <c r="C37" s="62" t="s">
        <v>113</v>
      </c>
      <c r="D37" s="62" t="s">
        <v>310</v>
      </c>
      <c r="E37" s="62">
        <v>999999</v>
      </c>
      <c r="F37" s="62">
        <v>999999</v>
      </c>
      <c r="G37" s="62">
        <v>99999</v>
      </c>
      <c r="H37" s="62">
        <v>999999</v>
      </c>
      <c r="I37" s="62">
        <v>110</v>
      </c>
      <c r="J37" s="62">
        <v>110</v>
      </c>
      <c r="K37" s="62">
        <v>110</v>
      </c>
      <c r="L37" s="62">
        <v>110</v>
      </c>
      <c r="M37" s="62">
        <v>400</v>
      </c>
      <c r="N37" s="62">
        <v>400</v>
      </c>
      <c r="O37" s="62">
        <v>400</v>
      </c>
      <c r="P37" s="62">
        <v>400</v>
      </c>
      <c r="Q37" s="62">
        <v>110</v>
      </c>
      <c r="R37" s="62">
        <v>110</v>
      </c>
      <c r="S37" s="62">
        <v>110</v>
      </c>
      <c r="T37" s="62">
        <v>110</v>
      </c>
      <c r="U37" s="62">
        <v>0</v>
      </c>
      <c r="V37" s="62">
        <v>0</v>
      </c>
      <c r="W37" s="62">
        <v>90</v>
      </c>
      <c r="X37" s="62">
        <v>0</v>
      </c>
      <c r="Y37" s="62">
        <v>500</v>
      </c>
      <c r="Z37" s="62">
        <v>500</v>
      </c>
      <c r="AA37" s="62">
        <v>500</v>
      </c>
      <c r="AB37" s="62">
        <v>500</v>
      </c>
      <c r="AC37" s="62">
        <v>4</v>
      </c>
      <c r="AD37" s="62">
        <v>4</v>
      </c>
      <c r="AE37" s="62">
        <v>4</v>
      </c>
      <c r="AF37" s="62">
        <v>4</v>
      </c>
      <c r="AG37" s="62">
        <v>0</v>
      </c>
      <c r="AH37" s="62">
        <v>0</v>
      </c>
      <c r="AI37" s="62">
        <v>0</v>
      </c>
      <c r="AJ37" s="62">
        <v>0</v>
      </c>
    </row>
    <row r="38" spans="1:36">
      <c r="A38" s="62" t="s">
        <v>967</v>
      </c>
      <c r="B38" s="62" t="s">
        <v>533</v>
      </c>
      <c r="C38" s="62" t="s">
        <v>113</v>
      </c>
      <c r="D38" s="62" t="s">
        <v>43</v>
      </c>
      <c r="E38" s="62">
        <v>0</v>
      </c>
      <c r="F38" s="62">
        <v>0</v>
      </c>
      <c r="G38" s="62">
        <v>3500</v>
      </c>
      <c r="H38" s="62">
        <v>0</v>
      </c>
      <c r="I38" s="62">
        <v>0</v>
      </c>
      <c r="J38" s="62">
        <v>0</v>
      </c>
      <c r="K38" s="62">
        <v>100</v>
      </c>
      <c r="L38" s="62">
        <v>0</v>
      </c>
      <c r="M38" s="62">
        <v>0</v>
      </c>
      <c r="N38" s="62">
        <v>0</v>
      </c>
      <c r="O38" s="62">
        <v>400</v>
      </c>
      <c r="P38" s="62">
        <v>0</v>
      </c>
      <c r="Q38" s="62">
        <v>0</v>
      </c>
      <c r="R38" s="62">
        <v>0</v>
      </c>
      <c r="S38" s="62">
        <v>110</v>
      </c>
      <c r="T38" s="62">
        <v>0</v>
      </c>
      <c r="U38" s="62">
        <v>0</v>
      </c>
      <c r="V38" s="62">
        <v>0</v>
      </c>
      <c r="W38" s="62">
        <v>0</v>
      </c>
      <c r="X38" s="62">
        <v>0</v>
      </c>
      <c r="Y38" s="62">
        <v>0</v>
      </c>
      <c r="Z38" s="62">
        <v>0</v>
      </c>
      <c r="AA38" s="62">
        <v>500</v>
      </c>
      <c r="AB38" s="62">
        <v>0</v>
      </c>
      <c r="AC38" s="62">
        <v>0</v>
      </c>
      <c r="AD38" s="62">
        <v>0</v>
      </c>
      <c r="AE38" s="62">
        <v>4</v>
      </c>
      <c r="AF38" s="62">
        <v>0</v>
      </c>
      <c r="AG38" s="62">
        <v>0</v>
      </c>
      <c r="AH38" s="62">
        <v>0</v>
      </c>
      <c r="AI38" s="62">
        <v>0</v>
      </c>
      <c r="AJ38" s="62">
        <v>0</v>
      </c>
    </row>
    <row r="39" spans="1:36">
      <c r="A39" s="62" t="s">
        <v>971</v>
      </c>
      <c r="B39" s="62" t="s">
        <v>305</v>
      </c>
      <c r="C39" s="62" t="s">
        <v>113</v>
      </c>
      <c r="D39" s="62" t="s">
        <v>43</v>
      </c>
      <c r="E39" s="62">
        <v>0</v>
      </c>
      <c r="F39" s="62">
        <v>0</v>
      </c>
      <c r="G39" s="62">
        <v>6500</v>
      </c>
      <c r="H39" s="62">
        <v>0</v>
      </c>
      <c r="I39" s="62">
        <v>0</v>
      </c>
      <c r="J39" s="62">
        <v>0</v>
      </c>
      <c r="K39" s="62">
        <v>95</v>
      </c>
      <c r="L39" s="62">
        <v>0</v>
      </c>
      <c r="M39" s="62">
        <v>0</v>
      </c>
      <c r="N39" s="62">
        <v>0</v>
      </c>
      <c r="O39" s="62">
        <v>400</v>
      </c>
      <c r="P39" s="62">
        <v>0</v>
      </c>
      <c r="Q39" s="62">
        <v>0</v>
      </c>
      <c r="R39" s="62">
        <v>0</v>
      </c>
      <c r="S39" s="62">
        <v>110</v>
      </c>
      <c r="T39" s="62">
        <v>0</v>
      </c>
      <c r="U39" s="62">
        <v>0</v>
      </c>
      <c r="V39" s="62">
        <v>0</v>
      </c>
      <c r="W39" s="62">
        <v>0</v>
      </c>
      <c r="X39" s="62">
        <v>0</v>
      </c>
      <c r="Y39" s="62">
        <v>0</v>
      </c>
      <c r="Z39" s="62">
        <v>0</v>
      </c>
      <c r="AA39" s="62">
        <v>500</v>
      </c>
      <c r="AB39" s="62">
        <v>0</v>
      </c>
      <c r="AC39" s="62">
        <v>0</v>
      </c>
      <c r="AD39" s="62">
        <v>0</v>
      </c>
      <c r="AE39" s="62">
        <v>4</v>
      </c>
      <c r="AF39" s="62">
        <v>0</v>
      </c>
      <c r="AG39" s="62">
        <v>0</v>
      </c>
      <c r="AH39" s="62">
        <v>0</v>
      </c>
      <c r="AI39" s="62">
        <v>0</v>
      </c>
      <c r="AJ39" s="62">
        <v>0</v>
      </c>
    </row>
    <row r="40" spans="1:36">
      <c r="A40" s="62" t="s">
        <v>971</v>
      </c>
      <c r="B40" s="62" t="s">
        <v>306</v>
      </c>
      <c r="C40" s="62" t="s">
        <v>113</v>
      </c>
      <c r="D40" s="62" t="s">
        <v>35</v>
      </c>
      <c r="E40" s="62">
        <v>0</v>
      </c>
      <c r="F40" s="62">
        <v>0</v>
      </c>
      <c r="G40" s="62">
        <v>3500</v>
      </c>
      <c r="H40" s="62">
        <v>0</v>
      </c>
      <c r="I40" s="62">
        <v>0</v>
      </c>
      <c r="J40" s="62">
        <v>0</v>
      </c>
      <c r="K40" s="62">
        <v>110</v>
      </c>
      <c r="L40" s="62">
        <v>0</v>
      </c>
      <c r="M40" s="62">
        <v>0</v>
      </c>
      <c r="N40" s="62">
        <v>0</v>
      </c>
      <c r="O40" s="62">
        <v>400</v>
      </c>
      <c r="P40" s="62">
        <v>0</v>
      </c>
      <c r="Q40" s="62">
        <v>0</v>
      </c>
      <c r="R40" s="62">
        <v>0</v>
      </c>
      <c r="S40" s="62">
        <v>110</v>
      </c>
      <c r="T40" s="62">
        <v>0</v>
      </c>
      <c r="U40" s="62">
        <v>0</v>
      </c>
      <c r="V40" s="62">
        <v>0</v>
      </c>
      <c r="W40" s="62">
        <v>0</v>
      </c>
      <c r="X40" s="62">
        <v>0</v>
      </c>
      <c r="Y40" s="62">
        <v>0</v>
      </c>
      <c r="Z40" s="62">
        <v>0</v>
      </c>
      <c r="AA40" s="62">
        <v>500</v>
      </c>
      <c r="AB40" s="62">
        <v>0</v>
      </c>
      <c r="AC40" s="62">
        <v>0</v>
      </c>
      <c r="AD40" s="62">
        <v>0</v>
      </c>
      <c r="AE40" s="62">
        <v>4</v>
      </c>
      <c r="AF40" s="62">
        <v>0</v>
      </c>
      <c r="AG40" s="62">
        <v>0</v>
      </c>
      <c r="AH40" s="62">
        <v>0</v>
      </c>
      <c r="AI40" s="62">
        <v>0</v>
      </c>
      <c r="AJ40" s="62">
        <v>0</v>
      </c>
    </row>
    <row r="41" spans="1:36">
      <c r="A41" s="62" t="s">
        <v>971</v>
      </c>
      <c r="B41" s="62" t="s">
        <v>309</v>
      </c>
      <c r="C41" s="62" t="s">
        <v>113</v>
      </c>
      <c r="D41" s="62" t="s">
        <v>35</v>
      </c>
      <c r="E41" s="62">
        <v>0</v>
      </c>
      <c r="F41" s="62">
        <v>0</v>
      </c>
      <c r="G41" s="62">
        <v>6500</v>
      </c>
      <c r="H41" s="62">
        <v>0</v>
      </c>
      <c r="I41" s="62">
        <v>0</v>
      </c>
      <c r="J41" s="62">
        <v>0</v>
      </c>
      <c r="K41" s="62">
        <v>105</v>
      </c>
      <c r="L41" s="62">
        <v>0</v>
      </c>
      <c r="M41" s="62">
        <v>0</v>
      </c>
      <c r="N41" s="62">
        <v>0</v>
      </c>
      <c r="O41" s="62">
        <v>400</v>
      </c>
      <c r="P41" s="62">
        <v>0</v>
      </c>
      <c r="Q41" s="62">
        <v>0</v>
      </c>
      <c r="R41" s="62">
        <v>0</v>
      </c>
      <c r="S41" s="62">
        <v>110</v>
      </c>
      <c r="T41" s="62">
        <v>0</v>
      </c>
      <c r="U41" s="62">
        <v>0</v>
      </c>
      <c r="V41" s="62">
        <v>0</v>
      </c>
      <c r="W41" s="62">
        <v>0</v>
      </c>
      <c r="X41" s="62">
        <v>0</v>
      </c>
      <c r="Y41" s="62">
        <v>0</v>
      </c>
      <c r="Z41" s="62">
        <v>0</v>
      </c>
      <c r="AA41" s="62">
        <v>500</v>
      </c>
      <c r="AB41" s="62">
        <v>0</v>
      </c>
      <c r="AC41" s="62">
        <v>0</v>
      </c>
      <c r="AD41" s="62">
        <v>0</v>
      </c>
      <c r="AE41" s="62">
        <v>4</v>
      </c>
      <c r="AF41" s="62">
        <v>0</v>
      </c>
      <c r="AG41" s="62">
        <v>0</v>
      </c>
      <c r="AH41" s="62">
        <v>0</v>
      </c>
      <c r="AI41" s="62">
        <v>0</v>
      </c>
      <c r="AJ41" s="62">
        <v>0</v>
      </c>
    </row>
    <row r="42" spans="1:36">
      <c r="A42" s="62" t="s">
        <v>971</v>
      </c>
      <c r="B42" s="62" t="s">
        <v>311</v>
      </c>
      <c r="C42" s="62" t="s">
        <v>897</v>
      </c>
      <c r="D42" s="62" t="s">
        <v>756</v>
      </c>
      <c r="E42" s="62">
        <v>2000</v>
      </c>
      <c r="F42" s="62">
        <v>2000</v>
      </c>
      <c r="G42" s="62">
        <v>2000</v>
      </c>
      <c r="H42" s="62">
        <v>0</v>
      </c>
      <c r="I42" s="62">
        <v>100</v>
      </c>
      <c r="J42" s="62">
        <v>120</v>
      </c>
      <c r="K42" s="62">
        <v>120</v>
      </c>
      <c r="L42" s="62">
        <v>0</v>
      </c>
      <c r="M42" s="62">
        <v>400</v>
      </c>
      <c r="N42" s="62">
        <v>400</v>
      </c>
      <c r="O42" s="62">
        <v>400</v>
      </c>
      <c r="P42" s="62">
        <v>0</v>
      </c>
      <c r="Q42" s="62">
        <v>0</v>
      </c>
      <c r="R42" s="62">
        <v>0</v>
      </c>
      <c r="S42" s="62">
        <v>0</v>
      </c>
      <c r="T42" s="62">
        <v>0</v>
      </c>
      <c r="U42" s="62">
        <v>100</v>
      </c>
      <c r="V42" s="62">
        <v>100</v>
      </c>
      <c r="W42" s="62">
        <v>100</v>
      </c>
      <c r="X42" s="62">
        <v>0</v>
      </c>
      <c r="Y42" s="62">
        <v>500</v>
      </c>
      <c r="Z42" s="62">
        <v>500</v>
      </c>
      <c r="AA42" s="62">
        <v>500</v>
      </c>
      <c r="AB42" s="62">
        <v>0</v>
      </c>
      <c r="AC42" s="62">
        <v>4</v>
      </c>
      <c r="AD42" s="62">
        <v>4</v>
      </c>
      <c r="AE42" s="62">
        <v>4</v>
      </c>
      <c r="AF42" s="62">
        <v>0</v>
      </c>
      <c r="AG42" s="62">
        <v>0</v>
      </c>
      <c r="AH42" s="62">
        <v>0</v>
      </c>
      <c r="AI42" s="62">
        <v>0</v>
      </c>
      <c r="AJ42" s="62">
        <v>0</v>
      </c>
    </row>
    <row r="43" spans="1:36">
      <c r="A43" s="62" t="s">
        <v>971</v>
      </c>
      <c r="B43" s="62" t="s">
        <v>314</v>
      </c>
      <c r="C43" s="62" t="s">
        <v>897</v>
      </c>
      <c r="D43" s="62" t="s">
        <v>756</v>
      </c>
      <c r="E43" s="62">
        <v>1000</v>
      </c>
      <c r="F43" s="62">
        <v>1000</v>
      </c>
      <c r="G43" s="62">
        <v>1000</v>
      </c>
      <c r="H43" s="62">
        <v>0</v>
      </c>
      <c r="I43" s="62">
        <v>120</v>
      </c>
      <c r="J43" s="62">
        <v>120</v>
      </c>
      <c r="K43" s="62">
        <v>120</v>
      </c>
      <c r="L43" s="62">
        <v>0</v>
      </c>
      <c r="M43" s="62">
        <v>400</v>
      </c>
      <c r="N43" s="62">
        <v>400</v>
      </c>
      <c r="O43" s="62">
        <v>400</v>
      </c>
      <c r="P43" s="62">
        <v>0</v>
      </c>
      <c r="Q43" s="62">
        <v>0</v>
      </c>
      <c r="R43" s="62">
        <v>0</v>
      </c>
      <c r="S43" s="62">
        <v>0</v>
      </c>
      <c r="T43" s="62">
        <v>0</v>
      </c>
      <c r="U43" s="62">
        <v>100</v>
      </c>
      <c r="V43" s="62">
        <v>100</v>
      </c>
      <c r="W43" s="62">
        <v>100</v>
      </c>
      <c r="X43" s="62">
        <v>0</v>
      </c>
      <c r="Y43" s="62">
        <v>500</v>
      </c>
      <c r="Z43" s="62">
        <v>500</v>
      </c>
      <c r="AA43" s="62">
        <v>500</v>
      </c>
      <c r="AB43" s="62">
        <v>0</v>
      </c>
      <c r="AC43" s="62">
        <v>0</v>
      </c>
      <c r="AD43" s="62">
        <v>0</v>
      </c>
      <c r="AE43" s="62">
        <v>0</v>
      </c>
      <c r="AF43" s="62">
        <v>0</v>
      </c>
      <c r="AG43" s="62">
        <v>0</v>
      </c>
      <c r="AH43" s="62">
        <v>0</v>
      </c>
      <c r="AI43" s="62">
        <v>0</v>
      </c>
      <c r="AJ43" s="62">
        <v>0</v>
      </c>
    </row>
    <row r="44" spans="1:36">
      <c r="A44" s="62" t="s">
        <v>971</v>
      </c>
      <c r="B44" s="62" t="s">
        <v>1032</v>
      </c>
      <c r="C44" s="62" t="s">
        <v>897</v>
      </c>
      <c r="D44" s="62" t="s">
        <v>756</v>
      </c>
      <c r="E44" s="62">
        <v>999999</v>
      </c>
      <c r="F44" s="62">
        <v>999999</v>
      </c>
      <c r="G44" s="62">
        <v>999999</v>
      </c>
      <c r="H44" s="62">
        <v>0</v>
      </c>
      <c r="I44" s="62">
        <v>90</v>
      </c>
      <c r="J44" s="62">
        <v>110</v>
      </c>
      <c r="K44" s="62">
        <v>110</v>
      </c>
      <c r="L44" s="62">
        <v>0</v>
      </c>
      <c r="M44" s="62">
        <v>400</v>
      </c>
      <c r="N44" s="62">
        <v>400</v>
      </c>
      <c r="O44" s="62">
        <v>400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100</v>
      </c>
      <c r="V44" s="62">
        <v>100</v>
      </c>
      <c r="W44" s="62">
        <v>100</v>
      </c>
      <c r="X44" s="62">
        <v>0</v>
      </c>
      <c r="Y44" s="62">
        <v>500</v>
      </c>
      <c r="Z44" s="62">
        <v>500</v>
      </c>
      <c r="AA44" s="62">
        <v>500</v>
      </c>
      <c r="AB44" s="62">
        <v>0</v>
      </c>
      <c r="AC44" s="62">
        <v>4</v>
      </c>
      <c r="AD44" s="62">
        <v>4</v>
      </c>
      <c r="AE44" s="62">
        <v>4</v>
      </c>
      <c r="AF44" s="62">
        <v>0</v>
      </c>
      <c r="AG44" s="62">
        <v>0</v>
      </c>
      <c r="AH44" s="62">
        <v>0</v>
      </c>
      <c r="AI44" s="62">
        <v>0</v>
      </c>
      <c r="AJ44" s="62">
        <v>0</v>
      </c>
    </row>
    <row r="45" spans="1:36">
      <c r="A45" s="62" t="s">
        <v>997</v>
      </c>
      <c r="B45" s="62" t="s">
        <v>305</v>
      </c>
      <c r="C45" s="62" t="s">
        <v>897</v>
      </c>
      <c r="D45" s="62" t="s">
        <v>43</v>
      </c>
      <c r="E45" s="62">
        <v>999999</v>
      </c>
      <c r="F45" s="62">
        <v>999999</v>
      </c>
      <c r="G45" s="62">
        <v>999999</v>
      </c>
      <c r="H45" s="62">
        <v>0</v>
      </c>
      <c r="I45" s="62">
        <v>75</v>
      </c>
      <c r="J45" s="62">
        <v>90</v>
      </c>
      <c r="K45" s="62">
        <v>90</v>
      </c>
      <c r="L45" s="62">
        <v>0</v>
      </c>
      <c r="M45" s="62">
        <v>400</v>
      </c>
      <c r="N45" s="62">
        <v>400</v>
      </c>
      <c r="O45" s="62">
        <v>400</v>
      </c>
      <c r="P45" s="62">
        <v>0</v>
      </c>
      <c r="Q45" s="62">
        <v>0</v>
      </c>
      <c r="R45" s="62">
        <v>0</v>
      </c>
      <c r="S45" s="62">
        <v>0</v>
      </c>
      <c r="T45" s="62">
        <v>0</v>
      </c>
      <c r="U45" s="62">
        <v>75</v>
      </c>
      <c r="V45" s="62">
        <v>75</v>
      </c>
      <c r="W45" s="62">
        <v>75</v>
      </c>
      <c r="X45" s="62">
        <v>0</v>
      </c>
      <c r="Y45" s="62">
        <v>500</v>
      </c>
      <c r="Z45" s="62">
        <v>500</v>
      </c>
      <c r="AA45" s="62">
        <v>500</v>
      </c>
      <c r="AB45" s="62">
        <v>0</v>
      </c>
      <c r="AC45" s="62">
        <v>4</v>
      </c>
      <c r="AD45" s="62">
        <v>4</v>
      </c>
      <c r="AE45" s="62">
        <v>4</v>
      </c>
      <c r="AF45" s="62">
        <v>0</v>
      </c>
      <c r="AG45" s="62">
        <v>0</v>
      </c>
      <c r="AH45" s="62">
        <v>0</v>
      </c>
      <c r="AI45" s="62">
        <v>0</v>
      </c>
      <c r="AJ45" s="62">
        <v>0</v>
      </c>
    </row>
    <row r="46" spans="1:36">
      <c r="A46" s="62" t="s">
        <v>997</v>
      </c>
      <c r="B46" s="62" t="s">
        <v>314</v>
      </c>
      <c r="C46" s="62" t="s">
        <v>897</v>
      </c>
      <c r="D46" s="62" t="s">
        <v>43</v>
      </c>
      <c r="E46" s="62">
        <v>1000</v>
      </c>
      <c r="F46" s="62">
        <v>1000</v>
      </c>
      <c r="G46" s="62">
        <v>1000</v>
      </c>
      <c r="H46" s="62">
        <v>0</v>
      </c>
      <c r="I46" s="62">
        <v>100</v>
      </c>
      <c r="J46" s="62">
        <v>105</v>
      </c>
      <c r="K46" s="62">
        <v>105</v>
      </c>
      <c r="L46" s="62">
        <v>0</v>
      </c>
      <c r="M46" s="62">
        <v>400</v>
      </c>
      <c r="N46" s="62">
        <v>400</v>
      </c>
      <c r="O46" s="62">
        <v>400</v>
      </c>
      <c r="P46" s="62">
        <v>0</v>
      </c>
      <c r="Q46" s="62">
        <v>0</v>
      </c>
      <c r="R46" s="62">
        <v>0</v>
      </c>
      <c r="S46" s="62">
        <v>0</v>
      </c>
      <c r="T46" s="62">
        <v>0</v>
      </c>
      <c r="U46" s="62">
        <v>75</v>
      </c>
      <c r="V46" s="62">
        <v>75</v>
      </c>
      <c r="W46" s="62">
        <v>75</v>
      </c>
      <c r="X46" s="62">
        <v>0</v>
      </c>
      <c r="Y46" s="62">
        <v>500</v>
      </c>
      <c r="Z46" s="62">
        <v>500</v>
      </c>
      <c r="AA46" s="62">
        <v>500</v>
      </c>
      <c r="AB46" s="62">
        <v>0</v>
      </c>
      <c r="AC46" s="62">
        <v>0</v>
      </c>
      <c r="AD46" s="62">
        <v>0</v>
      </c>
      <c r="AE46" s="62">
        <v>0</v>
      </c>
      <c r="AF46" s="62">
        <v>0</v>
      </c>
      <c r="AG46" s="62">
        <v>0</v>
      </c>
      <c r="AH46" s="62">
        <v>0</v>
      </c>
      <c r="AI46" s="62">
        <v>0</v>
      </c>
      <c r="AJ46" s="62">
        <v>0</v>
      </c>
    </row>
    <row r="47" spans="1:36">
      <c r="A47" s="62" t="s">
        <v>997</v>
      </c>
      <c r="B47" s="62" t="s">
        <v>306</v>
      </c>
      <c r="C47" s="62" t="s">
        <v>897</v>
      </c>
      <c r="D47" s="62" t="s">
        <v>43</v>
      </c>
      <c r="E47" s="62">
        <v>2000</v>
      </c>
      <c r="F47" s="62">
        <v>2000</v>
      </c>
      <c r="G47" s="62">
        <v>2000</v>
      </c>
      <c r="H47" s="62">
        <v>0</v>
      </c>
      <c r="I47" s="62">
        <v>80</v>
      </c>
      <c r="J47" s="62">
        <v>95</v>
      </c>
      <c r="K47" s="62">
        <v>95</v>
      </c>
      <c r="L47" s="62">
        <v>0</v>
      </c>
      <c r="M47" s="62">
        <v>400</v>
      </c>
      <c r="N47" s="62">
        <v>400</v>
      </c>
      <c r="O47" s="62">
        <v>400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75</v>
      </c>
      <c r="V47" s="62">
        <v>75</v>
      </c>
      <c r="W47" s="62">
        <v>75</v>
      </c>
      <c r="X47" s="62">
        <v>0</v>
      </c>
      <c r="Y47" s="62">
        <v>500</v>
      </c>
      <c r="Z47" s="62">
        <v>500</v>
      </c>
      <c r="AA47" s="62">
        <v>500</v>
      </c>
      <c r="AB47" s="62">
        <v>0</v>
      </c>
      <c r="AC47" s="62">
        <v>4</v>
      </c>
      <c r="AD47" s="62">
        <v>4</v>
      </c>
      <c r="AE47" s="62">
        <v>4</v>
      </c>
      <c r="AF47" s="62">
        <v>0</v>
      </c>
      <c r="AG47" s="62">
        <v>0</v>
      </c>
      <c r="AH47" s="62">
        <v>0</v>
      </c>
      <c r="AI47" s="62">
        <v>0</v>
      </c>
      <c r="AJ47" s="62">
        <v>0</v>
      </c>
    </row>
    <row r="48" spans="1:36">
      <c r="A48" s="62" t="s">
        <v>997</v>
      </c>
      <c r="B48" s="62" t="s">
        <v>311</v>
      </c>
      <c r="C48" s="62" t="s">
        <v>897</v>
      </c>
      <c r="D48" s="62" t="s">
        <v>43</v>
      </c>
      <c r="E48" s="62">
        <v>5200</v>
      </c>
      <c r="F48" s="62">
        <v>5200</v>
      </c>
      <c r="G48" s="62">
        <v>5200</v>
      </c>
      <c r="H48" s="62">
        <v>0</v>
      </c>
      <c r="I48" s="62">
        <v>80</v>
      </c>
      <c r="J48" s="62">
        <v>90</v>
      </c>
      <c r="K48" s="62">
        <v>90</v>
      </c>
      <c r="L48" s="62">
        <v>0</v>
      </c>
      <c r="M48" s="62">
        <v>400</v>
      </c>
      <c r="N48" s="62">
        <v>400</v>
      </c>
      <c r="O48" s="62">
        <v>400</v>
      </c>
      <c r="P48" s="62">
        <v>0</v>
      </c>
      <c r="Q48" s="62">
        <v>0</v>
      </c>
      <c r="R48" s="62">
        <v>0</v>
      </c>
      <c r="S48" s="62">
        <v>0</v>
      </c>
      <c r="T48" s="62">
        <v>0</v>
      </c>
      <c r="U48" s="62">
        <v>75</v>
      </c>
      <c r="V48" s="62">
        <v>75</v>
      </c>
      <c r="W48" s="62">
        <v>75</v>
      </c>
      <c r="X48" s="62">
        <v>0</v>
      </c>
      <c r="Y48" s="62">
        <v>500</v>
      </c>
      <c r="Z48" s="62">
        <v>500</v>
      </c>
      <c r="AA48" s="62">
        <v>500</v>
      </c>
      <c r="AB48" s="62">
        <v>0</v>
      </c>
      <c r="AC48" s="62">
        <v>4</v>
      </c>
      <c r="AD48" s="62">
        <v>4</v>
      </c>
      <c r="AE48" s="62">
        <v>4</v>
      </c>
      <c r="AF48" s="62">
        <v>0</v>
      </c>
      <c r="AG48" s="62">
        <v>0</v>
      </c>
      <c r="AH48" s="62">
        <v>0</v>
      </c>
      <c r="AI48" s="62">
        <v>0</v>
      </c>
      <c r="AJ48" s="62">
        <v>0</v>
      </c>
    </row>
    <row r="49" spans="1:36">
      <c r="A49" s="62" t="s">
        <v>999</v>
      </c>
      <c r="B49" s="62" t="s">
        <v>305</v>
      </c>
      <c r="C49" s="62" t="s">
        <v>897</v>
      </c>
      <c r="D49" s="62" t="s">
        <v>35</v>
      </c>
      <c r="E49" s="62">
        <v>999999</v>
      </c>
      <c r="F49" s="62">
        <v>999999</v>
      </c>
      <c r="G49" s="62">
        <v>999999</v>
      </c>
      <c r="H49" s="62">
        <v>999999</v>
      </c>
      <c r="I49" s="62">
        <v>90</v>
      </c>
      <c r="J49" s="62">
        <v>90</v>
      </c>
      <c r="K49" s="62">
        <v>105</v>
      </c>
      <c r="L49" s="62">
        <v>105</v>
      </c>
      <c r="M49" s="62">
        <v>450</v>
      </c>
      <c r="N49" s="62">
        <v>450</v>
      </c>
      <c r="O49" s="62">
        <v>450</v>
      </c>
      <c r="P49" s="62">
        <v>450</v>
      </c>
      <c r="Q49" s="62">
        <v>150</v>
      </c>
      <c r="R49" s="62">
        <v>150</v>
      </c>
      <c r="S49" s="62">
        <v>150</v>
      </c>
      <c r="T49" s="62">
        <v>150</v>
      </c>
      <c r="U49" s="62">
        <v>90</v>
      </c>
      <c r="V49" s="62">
        <v>90</v>
      </c>
      <c r="W49" s="62">
        <v>90</v>
      </c>
      <c r="X49" s="62">
        <v>90</v>
      </c>
      <c r="Y49" s="62">
        <v>500</v>
      </c>
      <c r="Z49" s="62">
        <v>500</v>
      </c>
      <c r="AA49" s="62">
        <v>500</v>
      </c>
      <c r="AB49" s="62">
        <v>500</v>
      </c>
      <c r="AC49" s="62">
        <v>4</v>
      </c>
      <c r="AD49" s="62">
        <v>4</v>
      </c>
      <c r="AE49" s="62">
        <v>4</v>
      </c>
      <c r="AF49" s="62">
        <v>4</v>
      </c>
      <c r="AG49" s="62">
        <v>0</v>
      </c>
      <c r="AH49" s="62">
        <v>0</v>
      </c>
      <c r="AI49" s="62">
        <v>0</v>
      </c>
      <c r="AJ49" s="62">
        <v>0</v>
      </c>
    </row>
    <row r="50" spans="1:36">
      <c r="A50" s="62" t="s">
        <v>999</v>
      </c>
      <c r="B50" s="62" t="s">
        <v>306</v>
      </c>
      <c r="C50" s="62" t="s">
        <v>897</v>
      </c>
      <c r="D50" s="62" t="s">
        <v>35</v>
      </c>
      <c r="E50" s="62">
        <v>999999</v>
      </c>
      <c r="F50" s="62">
        <v>999999</v>
      </c>
      <c r="G50" s="62">
        <v>999999</v>
      </c>
      <c r="H50" s="62">
        <v>0</v>
      </c>
      <c r="I50" s="62">
        <v>75</v>
      </c>
      <c r="J50" s="62">
        <v>90</v>
      </c>
      <c r="K50" s="62">
        <v>90</v>
      </c>
      <c r="L50" s="62">
        <v>0</v>
      </c>
      <c r="M50" s="62">
        <v>400</v>
      </c>
      <c r="N50" s="62">
        <v>400</v>
      </c>
      <c r="O50" s="62">
        <v>400</v>
      </c>
      <c r="P50" s="62">
        <v>0</v>
      </c>
      <c r="Q50" s="62">
        <v>0</v>
      </c>
      <c r="R50" s="62">
        <v>0</v>
      </c>
      <c r="S50" s="62">
        <v>0</v>
      </c>
      <c r="T50" s="62">
        <v>0</v>
      </c>
      <c r="U50" s="62">
        <v>85</v>
      </c>
      <c r="V50" s="62">
        <v>85</v>
      </c>
      <c r="W50" s="62">
        <v>85</v>
      </c>
      <c r="X50" s="62">
        <v>0</v>
      </c>
      <c r="Y50" s="62">
        <v>500</v>
      </c>
      <c r="Z50" s="62">
        <v>500</v>
      </c>
      <c r="AA50" s="62">
        <v>500</v>
      </c>
      <c r="AB50" s="62">
        <v>0</v>
      </c>
      <c r="AC50" s="62">
        <v>0</v>
      </c>
      <c r="AD50" s="62">
        <v>0</v>
      </c>
      <c r="AE50" s="62">
        <v>0</v>
      </c>
      <c r="AF50" s="62">
        <v>0</v>
      </c>
      <c r="AG50" s="62">
        <v>0</v>
      </c>
      <c r="AH50" s="62">
        <v>0</v>
      </c>
      <c r="AI50" s="62">
        <v>0</v>
      </c>
      <c r="AJ50" s="62">
        <v>0</v>
      </c>
    </row>
    <row r="51" spans="1:36">
      <c r="A51" s="62" t="s">
        <v>967</v>
      </c>
      <c r="B51" s="62" t="s">
        <v>533</v>
      </c>
      <c r="C51" s="62" t="s">
        <v>897</v>
      </c>
      <c r="D51" s="62" t="s">
        <v>35</v>
      </c>
      <c r="E51" s="62">
        <v>1000</v>
      </c>
      <c r="F51" s="62">
        <v>1000</v>
      </c>
      <c r="G51" s="62">
        <v>1000</v>
      </c>
      <c r="H51" s="62">
        <v>0</v>
      </c>
      <c r="I51" s="62">
        <v>100</v>
      </c>
      <c r="J51" s="62">
        <v>105</v>
      </c>
      <c r="K51" s="62">
        <v>105</v>
      </c>
      <c r="L51" s="62">
        <v>0</v>
      </c>
      <c r="M51" s="62">
        <v>400</v>
      </c>
      <c r="N51" s="62">
        <v>400</v>
      </c>
      <c r="O51" s="62">
        <v>400</v>
      </c>
      <c r="P51" s="62">
        <v>0</v>
      </c>
      <c r="Q51" s="62">
        <v>0</v>
      </c>
      <c r="R51" s="62">
        <v>0</v>
      </c>
      <c r="S51" s="62">
        <v>0</v>
      </c>
      <c r="T51" s="62">
        <v>0</v>
      </c>
      <c r="U51" s="62">
        <v>85</v>
      </c>
      <c r="V51" s="62">
        <v>85</v>
      </c>
      <c r="W51" s="62">
        <v>85</v>
      </c>
      <c r="X51" s="62">
        <v>0</v>
      </c>
      <c r="Y51" s="62">
        <v>500</v>
      </c>
      <c r="Z51" s="62">
        <v>500</v>
      </c>
      <c r="AA51" s="62">
        <v>500</v>
      </c>
      <c r="AB51" s="62">
        <v>0</v>
      </c>
      <c r="AC51" s="62">
        <v>4</v>
      </c>
      <c r="AD51" s="62">
        <v>4</v>
      </c>
      <c r="AE51" s="62">
        <v>4</v>
      </c>
      <c r="AF51" s="62">
        <v>0</v>
      </c>
      <c r="AG51" s="62">
        <v>0</v>
      </c>
      <c r="AH51" s="62">
        <v>0</v>
      </c>
      <c r="AI51" s="62">
        <v>0</v>
      </c>
      <c r="AJ51" s="62">
        <v>0</v>
      </c>
    </row>
    <row r="52" spans="1:36">
      <c r="A52" s="62" t="s">
        <v>967</v>
      </c>
      <c r="B52" s="62" t="s">
        <v>305</v>
      </c>
      <c r="C52" s="62" t="s">
        <v>897</v>
      </c>
      <c r="D52" s="62" t="s">
        <v>35</v>
      </c>
      <c r="E52" s="62">
        <v>2000</v>
      </c>
      <c r="F52" s="62">
        <v>2000</v>
      </c>
      <c r="G52" s="62">
        <v>2000</v>
      </c>
      <c r="H52" s="62">
        <v>0</v>
      </c>
      <c r="I52" s="62">
        <v>80</v>
      </c>
      <c r="J52" s="62">
        <v>95</v>
      </c>
      <c r="K52" s="62">
        <v>95</v>
      </c>
      <c r="L52" s="62">
        <v>0</v>
      </c>
      <c r="M52" s="62">
        <v>400</v>
      </c>
      <c r="N52" s="62">
        <v>400</v>
      </c>
      <c r="O52" s="62">
        <v>400</v>
      </c>
      <c r="P52" s="62">
        <v>0</v>
      </c>
      <c r="Q52" s="62">
        <v>0</v>
      </c>
      <c r="R52" s="62">
        <v>0</v>
      </c>
      <c r="S52" s="62">
        <v>0</v>
      </c>
      <c r="T52" s="62">
        <v>0</v>
      </c>
      <c r="U52" s="62">
        <v>85</v>
      </c>
      <c r="V52" s="62">
        <v>85</v>
      </c>
      <c r="W52" s="62">
        <v>85</v>
      </c>
      <c r="X52" s="62">
        <v>0</v>
      </c>
      <c r="Y52" s="62">
        <v>500</v>
      </c>
      <c r="Z52" s="62">
        <v>500</v>
      </c>
      <c r="AA52" s="62">
        <v>500</v>
      </c>
      <c r="AB52" s="62">
        <v>0</v>
      </c>
      <c r="AC52" s="62">
        <v>4</v>
      </c>
      <c r="AD52" s="62">
        <v>4</v>
      </c>
      <c r="AE52" s="62">
        <v>4</v>
      </c>
      <c r="AF52" s="62">
        <v>0</v>
      </c>
      <c r="AG52" s="62">
        <v>0</v>
      </c>
      <c r="AH52" s="62">
        <v>0</v>
      </c>
      <c r="AI52" s="62">
        <v>0</v>
      </c>
      <c r="AJ52" s="62">
        <v>0</v>
      </c>
    </row>
    <row r="53" spans="1:36">
      <c r="A53" s="62" t="s">
        <v>967</v>
      </c>
      <c r="B53" s="62" t="s">
        <v>305</v>
      </c>
      <c r="C53" s="62" t="s">
        <v>897</v>
      </c>
      <c r="D53" s="62" t="s">
        <v>39</v>
      </c>
      <c r="E53" s="62">
        <v>999999</v>
      </c>
      <c r="F53" s="62">
        <v>999999</v>
      </c>
      <c r="G53" s="62">
        <v>999999</v>
      </c>
      <c r="H53" s="62">
        <v>0</v>
      </c>
      <c r="I53" s="62">
        <v>70</v>
      </c>
      <c r="J53" s="62">
        <v>80</v>
      </c>
      <c r="K53" s="62">
        <v>80</v>
      </c>
      <c r="L53" s="62">
        <v>0</v>
      </c>
      <c r="M53" s="62">
        <v>400</v>
      </c>
      <c r="N53" s="62">
        <v>400</v>
      </c>
      <c r="O53" s="62">
        <v>400</v>
      </c>
      <c r="P53" s="62">
        <v>0</v>
      </c>
      <c r="Q53" s="62">
        <v>0</v>
      </c>
      <c r="R53" s="62">
        <v>0</v>
      </c>
      <c r="S53" s="62">
        <v>0</v>
      </c>
      <c r="T53" s="62">
        <v>0</v>
      </c>
      <c r="U53" s="62">
        <v>75</v>
      </c>
      <c r="V53" s="62">
        <v>75</v>
      </c>
      <c r="W53" s="62">
        <v>75</v>
      </c>
      <c r="X53" s="62">
        <v>0</v>
      </c>
      <c r="Y53" s="62">
        <v>400</v>
      </c>
      <c r="Z53" s="62">
        <v>400</v>
      </c>
      <c r="AA53" s="62">
        <v>400</v>
      </c>
      <c r="AB53" s="62">
        <v>0</v>
      </c>
      <c r="AC53" s="62">
        <v>4</v>
      </c>
      <c r="AD53" s="62">
        <v>4</v>
      </c>
      <c r="AE53" s="62">
        <v>4</v>
      </c>
      <c r="AF53" s="62">
        <v>0</v>
      </c>
      <c r="AG53" s="62">
        <v>0</v>
      </c>
      <c r="AH53" s="62">
        <v>0</v>
      </c>
      <c r="AI53" s="62">
        <v>0</v>
      </c>
      <c r="AJ53" s="62">
        <v>0</v>
      </c>
    </row>
    <row r="54" spans="1:36">
      <c r="A54" s="62" t="s">
        <v>969</v>
      </c>
      <c r="B54" s="62" t="s">
        <v>1057</v>
      </c>
      <c r="C54" s="62" t="s">
        <v>897</v>
      </c>
      <c r="D54" s="62" t="s">
        <v>39</v>
      </c>
      <c r="E54" s="62">
        <v>1000</v>
      </c>
      <c r="F54" s="62">
        <v>1000</v>
      </c>
      <c r="G54" s="62">
        <v>1000</v>
      </c>
      <c r="H54" s="62">
        <v>0</v>
      </c>
      <c r="I54" s="62">
        <v>85</v>
      </c>
      <c r="J54" s="62">
        <v>95</v>
      </c>
      <c r="K54" s="62">
        <v>95</v>
      </c>
      <c r="L54" s="62">
        <v>0</v>
      </c>
      <c r="M54" s="62">
        <v>400</v>
      </c>
      <c r="N54" s="62">
        <v>400</v>
      </c>
      <c r="O54" s="62">
        <v>400</v>
      </c>
      <c r="P54" s="62">
        <v>0</v>
      </c>
      <c r="Q54" s="62">
        <v>0</v>
      </c>
      <c r="R54" s="62">
        <v>0</v>
      </c>
      <c r="S54" s="62">
        <v>0</v>
      </c>
      <c r="T54" s="62">
        <v>0</v>
      </c>
      <c r="U54" s="62">
        <v>75</v>
      </c>
      <c r="V54" s="62">
        <v>75</v>
      </c>
      <c r="W54" s="62">
        <v>75</v>
      </c>
      <c r="X54" s="62">
        <v>0</v>
      </c>
      <c r="Y54" s="62">
        <v>400</v>
      </c>
      <c r="Z54" s="62">
        <v>400</v>
      </c>
      <c r="AA54" s="62">
        <v>400</v>
      </c>
      <c r="AB54" s="62">
        <v>0</v>
      </c>
      <c r="AC54" s="62">
        <v>4</v>
      </c>
      <c r="AD54" s="62">
        <v>4</v>
      </c>
      <c r="AE54" s="62">
        <v>4</v>
      </c>
      <c r="AF54" s="62">
        <v>4</v>
      </c>
      <c r="AG54" s="62">
        <v>0</v>
      </c>
      <c r="AH54" s="62">
        <v>0</v>
      </c>
      <c r="AI54" s="62">
        <v>0</v>
      </c>
      <c r="AJ54" s="62">
        <v>0</v>
      </c>
    </row>
    <row r="55" spans="1:36">
      <c r="A55" s="62" t="s">
        <v>969</v>
      </c>
      <c r="B55" s="62" t="s">
        <v>1057</v>
      </c>
      <c r="C55" s="62" t="s">
        <v>897</v>
      </c>
      <c r="D55" s="62" t="s">
        <v>39</v>
      </c>
      <c r="E55" s="62">
        <v>2000</v>
      </c>
      <c r="F55" s="62">
        <v>2000</v>
      </c>
      <c r="G55" s="62">
        <v>2000</v>
      </c>
      <c r="H55" s="62">
        <v>0</v>
      </c>
      <c r="I55" s="62">
        <v>75</v>
      </c>
      <c r="J55" s="62">
        <v>80</v>
      </c>
      <c r="K55" s="62">
        <v>80</v>
      </c>
      <c r="L55" s="62">
        <v>0</v>
      </c>
      <c r="M55" s="62">
        <v>400</v>
      </c>
      <c r="N55" s="62">
        <v>400</v>
      </c>
      <c r="O55" s="62">
        <v>400</v>
      </c>
      <c r="P55" s="62">
        <v>400</v>
      </c>
      <c r="Q55" s="62">
        <v>0</v>
      </c>
      <c r="R55" s="62">
        <v>0</v>
      </c>
      <c r="S55" s="62">
        <v>0</v>
      </c>
      <c r="T55" s="62">
        <v>0</v>
      </c>
      <c r="U55" s="62">
        <v>75</v>
      </c>
      <c r="V55" s="62">
        <v>75</v>
      </c>
      <c r="W55" s="62">
        <v>75</v>
      </c>
      <c r="X55" s="62">
        <v>0</v>
      </c>
      <c r="Y55" s="62">
        <v>400</v>
      </c>
      <c r="Z55" s="62">
        <v>400</v>
      </c>
      <c r="AA55" s="62">
        <v>400</v>
      </c>
      <c r="AB55" s="62">
        <v>400</v>
      </c>
      <c r="AC55" s="62">
        <v>4</v>
      </c>
      <c r="AD55" s="62">
        <v>4</v>
      </c>
      <c r="AE55" s="62">
        <v>4</v>
      </c>
      <c r="AF55" s="62">
        <v>0</v>
      </c>
      <c r="AG55" s="62">
        <v>0</v>
      </c>
      <c r="AH55" s="62">
        <v>0</v>
      </c>
      <c r="AI55" s="62">
        <v>0</v>
      </c>
      <c r="AJ55" s="62">
        <v>0</v>
      </c>
    </row>
    <row r="56" spans="1:36">
      <c r="A56" s="62" t="s">
        <v>969</v>
      </c>
      <c r="B56" s="62" t="s">
        <v>1057</v>
      </c>
      <c r="C56" s="62" t="s">
        <v>897</v>
      </c>
      <c r="D56" s="62" t="s">
        <v>37</v>
      </c>
      <c r="E56" s="62">
        <v>999999</v>
      </c>
      <c r="F56" s="62">
        <v>999999</v>
      </c>
      <c r="G56" s="62">
        <v>999999</v>
      </c>
      <c r="H56" s="62">
        <v>0</v>
      </c>
      <c r="I56" s="62">
        <v>70</v>
      </c>
      <c r="J56" s="62">
        <v>70</v>
      </c>
      <c r="K56" s="62">
        <v>70</v>
      </c>
      <c r="L56" s="62">
        <v>0</v>
      </c>
      <c r="M56" s="62">
        <v>200</v>
      </c>
      <c r="N56" s="62">
        <v>200</v>
      </c>
      <c r="O56" s="62">
        <v>200</v>
      </c>
      <c r="P56" s="62">
        <v>0</v>
      </c>
      <c r="Q56" s="62">
        <v>0</v>
      </c>
      <c r="R56" s="62">
        <v>0</v>
      </c>
      <c r="S56" s="62">
        <v>0</v>
      </c>
      <c r="T56" s="62">
        <v>0</v>
      </c>
      <c r="U56" s="62">
        <v>0</v>
      </c>
      <c r="V56" s="62">
        <v>0</v>
      </c>
      <c r="W56" s="62">
        <v>0</v>
      </c>
      <c r="X56" s="62">
        <v>0</v>
      </c>
      <c r="Y56" s="62">
        <v>300</v>
      </c>
      <c r="Z56" s="62">
        <v>300</v>
      </c>
      <c r="AA56" s="62">
        <v>300</v>
      </c>
      <c r="AB56" s="62">
        <v>0</v>
      </c>
      <c r="AC56" s="62">
        <v>4</v>
      </c>
      <c r="AD56" s="62">
        <v>4</v>
      </c>
      <c r="AE56" s="62">
        <v>4</v>
      </c>
      <c r="AF56" s="62">
        <v>0</v>
      </c>
      <c r="AG56" s="62">
        <v>0</v>
      </c>
      <c r="AH56" s="62">
        <v>0</v>
      </c>
      <c r="AI56" s="62">
        <v>0</v>
      </c>
      <c r="AJ56" s="62">
        <v>0</v>
      </c>
    </row>
    <row r="57" spans="1:36">
      <c r="A57" s="62" t="s">
        <v>974</v>
      </c>
      <c r="B57" s="62" t="s">
        <v>1032</v>
      </c>
      <c r="C57" s="62" t="s">
        <v>897</v>
      </c>
      <c r="D57" s="62" t="s">
        <v>37</v>
      </c>
      <c r="E57" s="62">
        <v>1000</v>
      </c>
      <c r="F57" s="62">
        <v>1000</v>
      </c>
      <c r="G57" s="62">
        <v>1000</v>
      </c>
      <c r="H57" s="62">
        <v>0</v>
      </c>
      <c r="I57" s="62">
        <v>150</v>
      </c>
      <c r="J57" s="62">
        <v>150</v>
      </c>
      <c r="K57" s="62">
        <v>150</v>
      </c>
      <c r="L57" s="62">
        <v>0</v>
      </c>
      <c r="M57" s="62">
        <v>200</v>
      </c>
      <c r="N57" s="62">
        <v>200</v>
      </c>
      <c r="O57" s="62">
        <v>200</v>
      </c>
      <c r="P57" s="62">
        <v>0</v>
      </c>
      <c r="Q57" s="62">
        <v>0</v>
      </c>
      <c r="R57" s="62">
        <v>0</v>
      </c>
      <c r="S57" s="62">
        <v>0</v>
      </c>
      <c r="T57" s="62">
        <v>0</v>
      </c>
      <c r="U57" s="62">
        <v>0</v>
      </c>
      <c r="V57" s="62">
        <v>0</v>
      </c>
      <c r="W57" s="62">
        <v>0</v>
      </c>
      <c r="X57" s="62">
        <v>0</v>
      </c>
      <c r="Y57" s="62">
        <v>300</v>
      </c>
      <c r="Z57" s="62">
        <v>300</v>
      </c>
      <c r="AA57" s="62">
        <v>300</v>
      </c>
      <c r="AB57" s="62">
        <v>0</v>
      </c>
      <c r="AC57" s="62">
        <v>4</v>
      </c>
      <c r="AD57" s="62">
        <v>4</v>
      </c>
      <c r="AE57" s="62">
        <v>4</v>
      </c>
      <c r="AF57" s="62">
        <v>0</v>
      </c>
      <c r="AG57" s="62">
        <v>0</v>
      </c>
      <c r="AH57" s="62">
        <v>0</v>
      </c>
      <c r="AI57" s="62">
        <v>0</v>
      </c>
      <c r="AJ57" s="62">
        <v>0</v>
      </c>
    </row>
    <row r="58" spans="1:36">
      <c r="A58" s="62" t="s">
        <v>974</v>
      </c>
      <c r="B58" s="62" t="s">
        <v>305</v>
      </c>
      <c r="C58" s="62" t="s">
        <v>897</v>
      </c>
      <c r="D58" s="62" t="s">
        <v>37</v>
      </c>
      <c r="E58" s="62">
        <v>2000</v>
      </c>
      <c r="F58" s="62">
        <v>2000</v>
      </c>
      <c r="G58" s="62">
        <v>2000</v>
      </c>
      <c r="H58" s="62">
        <v>0</v>
      </c>
      <c r="I58" s="62">
        <v>130</v>
      </c>
      <c r="J58" s="62">
        <v>130</v>
      </c>
      <c r="K58" s="62">
        <v>130</v>
      </c>
      <c r="L58" s="62">
        <v>0</v>
      </c>
      <c r="M58" s="62">
        <v>200</v>
      </c>
      <c r="N58" s="62">
        <v>200</v>
      </c>
      <c r="O58" s="62">
        <v>200</v>
      </c>
      <c r="P58" s="62">
        <v>0</v>
      </c>
      <c r="Q58" s="62">
        <v>0</v>
      </c>
      <c r="R58" s="62">
        <v>0</v>
      </c>
      <c r="S58" s="62">
        <v>0</v>
      </c>
      <c r="T58" s="62">
        <v>0</v>
      </c>
      <c r="U58" s="62">
        <v>0</v>
      </c>
      <c r="V58" s="62">
        <v>0</v>
      </c>
      <c r="W58" s="62">
        <v>0</v>
      </c>
      <c r="X58" s="62">
        <v>0</v>
      </c>
      <c r="Y58" s="62">
        <v>500</v>
      </c>
      <c r="Z58" s="62">
        <v>500</v>
      </c>
      <c r="AA58" s="62">
        <v>500</v>
      </c>
      <c r="AB58" s="62">
        <v>0</v>
      </c>
      <c r="AC58" s="62">
        <v>4</v>
      </c>
      <c r="AD58" s="62">
        <v>4</v>
      </c>
      <c r="AE58" s="62">
        <v>4</v>
      </c>
      <c r="AF58" s="62">
        <v>0</v>
      </c>
      <c r="AG58" s="62">
        <v>0</v>
      </c>
      <c r="AH58" s="62">
        <v>0</v>
      </c>
      <c r="AI58" s="62">
        <v>0</v>
      </c>
      <c r="AJ58" s="62">
        <v>0</v>
      </c>
    </row>
    <row r="59" spans="1:36">
      <c r="A59" s="62" t="s">
        <v>974</v>
      </c>
      <c r="B59" s="62" t="s">
        <v>306</v>
      </c>
      <c r="C59" s="62" t="s">
        <v>897</v>
      </c>
      <c r="D59" s="62" t="s">
        <v>37</v>
      </c>
      <c r="E59" s="62">
        <v>3000</v>
      </c>
      <c r="F59" s="62">
        <v>3000</v>
      </c>
      <c r="G59" s="62">
        <v>3000</v>
      </c>
      <c r="H59" s="62">
        <v>0</v>
      </c>
      <c r="I59" s="62">
        <v>90</v>
      </c>
      <c r="J59" s="62">
        <v>90</v>
      </c>
      <c r="K59" s="62">
        <v>90</v>
      </c>
      <c r="L59" s="62">
        <v>0</v>
      </c>
      <c r="M59" s="62">
        <v>200</v>
      </c>
      <c r="N59" s="62">
        <v>200</v>
      </c>
      <c r="O59" s="62">
        <v>200</v>
      </c>
      <c r="P59" s="62">
        <v>0</v>
      </c>
      <c r="Q59" s="62">
        <v>0</v>
      </c>
      <c r="R59" s="62">
        <v>0</v>
      </c>
      <c r="S59" s="62">
        <v>0</v>
      </c>
      <c r="T59" s="62">
        <v>0</v>
      </c>
      <c r="U59" s="62">
        <v>0</v>
      </c>
      <c r="V59" s="62">
        <v>0</v>
      </c>
      <c r="W59" s="62">
        <v>0</v>
      </c>
      <c r="X59" s="62">
        <v>0</v>
      </c>
      <c r="Y59" s="62">
        <v>300</v>
      </c>
      <c r="Z59" s="62">
        <v>300</v>
      </c>
      <c r="AA59" s="62">
        <v>300</v>
      </c>
      <c r="AB59" s="62">
        <v>0</v>
      </c>
      <c r="AC59" s="62">
        <v>4</v>
      </c>
      <c r="AD59" s="62">
        <v>4</v>
      </c>
      <c r="AE59" s="62">
        <v>4</v>
      </c>
      <c r="AF59" s="62">
        <v>0</v>
      </c>
      <c r="AG59" s="62">
        <v>0</v>
      </c>
      <c r="AH59" s="62">
        <v>0</v>
      </c>
      <c r="AI59" s="62">
        <v>0</v>
      </c>
      <c r="AJ59" s="62">
        <v>0</v>
      </c>
    </row>
    <row r="60" spans="1:36">
      <c r="A60" s="62" t="s">
        <v>974</v>
      </c>
      <c r="B60" s="62" t="s">
        <v>309</v>
      </c>
    </row>
    <row r="61" spans="1:36">
      <c r="A61" s="62" t="s">
        <v>974</v>
      </c>
      <c r="B61" s="62" t="s">
        <v>311</v>
      </c>
    </row>
    <row r="62" spans="1:36">
      <c r="A62" s="62" t="s">
        <v>974</v>
      </c>
      <c r="B62" s="62" t="s">
        <v>314</v>
      </c>
    </row>
    <row r="63" spans="1:36">
      <c r="A63" s="62" t="s">
        <v>976</v>
      </c>
      <c r="B63" s="62" t="s">
        <v>305</v>
      </c>
    </row>
    <row r="64" spans="1:36">
      <c r="A64" s="62" t="s">
        <v>976</v>
      </c>
      <c r="B64" s="62" t="s">
        <v>309</v>
      </c>
    </row>
    <row r="65" spans="1:2">
      <c r="A65" s="62" t="s">
        <v>976</v>
      </c>
      <c r="B65" s="62" t="s">
        <v>309</v>
      </c>
    </row>
    <row r="66" spans="1:2">
      <c r="A66" s="62" t="s">
        <v>976</v>
      </c>
      <c r="B66" s="62" t="s">
        <v>314</v>
      </c>
    </row>
    <row r="67" spans="1:2">
      <c r="A67" s="62" t="s">
        <v>978</v>
      </c>
      <c r="B67" s="62" t="s">
        <v>1032</v>
      </c>
    </row>
    <row r="68" spans="1:2">
      <c r="A68" s="62" t="s">
        <v>978</v>
      </c>
      <c r="B68" s="62" t="s">
        <v>305</v>
      </c>
    </row>
    <row r="69" spans="1:2">
      <c r="A69" s="62" t="s">
        <v>969</v>
      </c>
      <c r="B69" s="62" t="s">
        <v>533</v>
      </c>
    </row>
    <row r="70" spans="1:2">
      <c r="A70" s="62" t="s">
        <v>969</v>
      </c>
      <c r="B70" s="62" t="s">
        <v>533</v>
      </c>
    </row>
    <row r="71" spans="1:2">
      <c r="A71" s="62" t="s">
        <v>969</v>
      </c>
      <c r="B71" s="62" t="s">
        <v>533</v>
      </c>
    </row>
    <row r="72" spans="1:2">
      <c r="A72" s="62" t="s">
        <v>969</v>
      </c>
      <c r="B72" s="62" t="s">
        <v>533</v>
      </c>
    </row>
    <row r="73" spans="1:2">
      <c r="A73" s="62" t="s">
        <v>969</v>
      </c>
      <c r="B73" s="62" t="s">
        <v>305</v>
      </c>
    </row>
    <row r="74" spans="1:2">
      <c r="A74" s="62" t="s">
        <v>969</v>
      </c>
      <c r="B74" s="62" t="s">
        <v>305</v>
      </c>
    </row>
    <row r="75" spans="1:2">
      <c r="A75" s="62" t="s">
        <v>969</v>
      </c>
      <c r="B75" s="62" t="s">
        <v>305</v>
      </c>
    </row>
    <row r="76" spans="1:2">
      <c r="A76" s="62" t="s">
        <v>969</v>
      </c>
      <c r="B76" s="62" t="s">
        <v>305</v>
      </c>
    </row>
    <row r="77" spans="1:2">
      <c r="A77" s="62" t="s">
        <v>969</v>
      </c>
      <c r="B77" s="62" t="s">
        <v>309</v>
      </c>
    </row>
    <row r="78" spans="1:2">
      <c r="A78" s="62" t="s">
        <v>969</v>
      </c>
      <c r="B78" s="62" t="s">
        <v>309</v>
      </c>
    </row>
    <row r="79" spans="1:2">
      <c r="A79" s="62" t="s">
        <v>969</v>
      </c>
      <c r="B79" s="62" t="s">
        <v>309</v>
      </c>
    </row>
    <row r="80" spans="1:2">
      <c r="A80" s="62" t="s">
        <v>969</v>
      </c>
      <c r="B80" s="62" t="s">
        <v>314</v>
      </c>
    </row>
    <row r="81" spans="1:2">
      <c r="A81" s="62" t="s">
        <v>969</v>
      </c>
      <c r="B81" s="62" t="s">
        <v>314</v>
      </c>
    </row>
    <row r="82" spans="1:2">
      <c r="A82" s="62" t="s">
        <v>969</v>
      </c>
      <c r="B82" s="62" t="s">
        <v>314</v>
      </c>
    </row>
    <row r="83" spans="1:2">
      <c r="A83" s="62" t="s">
        <v>969</v>
      </c>
      <c r="B83" s="62" t="s">
        <v>314</v>
      </c>
    </row>
    <row r="84" spans="1:2">
      <c r="A84" s="62" t="s">
        <v>978</v>
      </c>
      <c r="B84" s="62" t="s">
        <v>306</v>
      </c>
    </row>
    <row r="85" spans="1:2">
      <c r="A85" s="62" t="s">
        <v>978</v>
      </c>
      <c r="B85" s="62" t="s">
        <v>314</v>
      </c>
    </row>
    <row r="86" spans="1:2">
      <c r="A86" s="62" t="s">
        <v>978</v>
      </c>
      <c r="B86" s="62" t="s">
        <v>296</v>
      </c>
    </row>
    <row r="87" spans="1:2">
      <c r="A87" s="62" t="s">
        <v>1003</v>
      </c>
      <c r="B87" s="62" t="s">
        <v>305</v>
      </c>
    </row>
    <row r="88" spans="1:2">
      <c r="A88" s="62" t="s">
        <v>1003</v>
      </c>
      <c r="B88" s="62" t="s">
        <v>306</v>
      </c>
    </row>
    <row r="89" spans="1:2">
      <c r="A89" s="62" t="s">
        <v>1003</v>
      </c>
      <c r="B89" s="62" t="s">
        <v>309</v>
      </c>
    </row>
    <row r="90" spans="1:2">
      <c r="A90" s="62" t="s">
        <v>1003</v>
      </c>
      <c r="B90" s="62" t="s">
        <v>311</v>
      </c>
    </row>
    <row r="91" spans="1:2">
      <c r="A91" s="62" t="s">
        <v>1003</v>
      </c>
      <c r="B91" s="62" t="s">
        <v>314</v>
      </c>
    </row>
    <row r="92" spans="1:2">
      <c r="A92" s="62" t="s">
        <v>1005</v>
      </c>
      <c r="B92" s="62" t="s">
        <v>305</v>
      </c>
    </row>
    <row r="93" spans="1:2">
      <c r="A93" s="62" t="s">
        <v>978</v>
      </c>
      <c r="B93" s="62" t="s">
        <v>311</v>
      </c>
    </row>
    <row r="94" spans="1:2">
      <c r="A94" s="62" t="s">
        <v>980</v>
      </c>
      <c r="B94" s="62" t="s">
        <v>1032</v>
      </c>
    </row>
    <row r="95" spans="1:2">
      <c r="A95" s="62" t="s">
        <v>980</v>
      </c>
      <c r="B95" s="62" t="s">
        <v>1032</v>
      </c>
    </row>
    <row r="96" spans="1:2">
      <c r="A96" s="62" t="s">
        <v>980</v>
      </c>
      <c r="B96" s="62" t="s">
        <v>1032</v>
      </c>
    </row>
    <row r="97" spans="1:2">
      <c r="A97" s="62" t="s">
        <v>980</v>
      </c>
      <c r="B97" s="62" t="s">
        <v>1032</v>
      </c>
    </row>
    <row r="98" spans="1:2">
      <c r="A98" s="62" t="s">
        <v>980</v>
      </c>
      <c r="B98" s="62" t="s">
        <v>1032</v>
      </c>
    </row>
    <row r="99" spans="1:2">
      <c r="A99" s="62" t="s">
        <v>1001</v>
      </c>
      <c r="B99" s="62" t="s">
        <v>305</v>
      </c>
    </row>
    <row r="100" spans="1:2">
      <c r="A100" s="62" t="s">
        <v>1001</v>
      </c>
      <c r="B100" s="62" t="s">
        <v>306</v>
      </c>
    </row>
    <row r="101" spans="1:2">
      <c r="A101" s="62" t="s">
        <v>1001</v>
      </c>
      <c r="B101" s="62" t="s">
        <v>314</v>
      </c>
    </row>
    <row r="102" spans="1:2">
      <c r="A102" s="62" t="s">
        <v>1005</v>
      </c>
      <c r="B102" s="62" t="s">
        <v>306</v>
      </c>
    </row>
    <row r="103" spans="1:2">
      <c r="A103" s="62" t="s">
        <v>1005</v>
      </c>
      <c r="B103" s="62" t="s">
        <v>314</v>
      </c>
    </row>
    <row r="104" spans="1:2">
      <c r="A104" s="62" t="s">
        <v>1007</v>
      </c>
      <c r="B104" s="62" t="s">
        <v>305</v>
      </c>
    </row>
    <row r="105" spans="1:2">
      <c r="A105" s="62" t="s">
        <v>980</v>
      </c>
      <c r="B105" s="62" t="s">
        <v>1032</v>
      </c>
    </row>
    <row r="106" spans="1:2">
      <c r="A106" s="62" t="s">
        <v>980</v>
      </c>
      <c r="B106" s="62" t="s">
        <v>314</v>
      </c>
    </row>
    <row r="107" spans="1:2">
      <c r="A107" s="62" t="s">
        <v>980</v>
      </c>
      <c r="B107" s="62" t="s">
        <v>314</v>
      </c>
    </row>
    <row r="108" spans="1:2">
      <c r="A108" s="62" t="s">
        <v>980</v>
      </c>
      <c r="B108" s="62" t="s">
        <v>314</v>
      </c>
    </row>
    <row r="109" spans="1:2">
      <c r="A109" s="62" t="s">
        <v>980</v>
      </c>
      <c r="B109" s="62" t="s">
        <v>314</v>
      </c>
    </row>
    <row r="110" spans="1:2">
      <c r="A110" s="62" t="s">
        <v>980</v>
      </c>
      <c r="B110" s="62" t="s">
        <v>314</v>
      </c>
    </row>
    <row r="111" spans="1:2">
      <c r="A111" s="62" t="s">
        <v>980</v>
      </c>
      <c r="B111" s="62" t="s">
        <v>314</v>
      </c>
    </row>
    <row r="112" spans="1:2">
      <c r="A112" s="62" t="s">
        <v>982</v>
      </c>
      <c r="B112" s="62" t="s">
        <v>305</v>
      </c>
    </row>
    <row r="113" spans="1:2">
      <c r="A113" s="62" t="s">
        <v>982</v>
      </c>
      <c r="B113" s="62" t="s">
        <v>309</v>
      </c>
    </row>
    <row r="114" spans="1:2">
      <c r="A114" s="62" t="s">
        <v>982</v>
      </c>
      <c r="B114" s="62" t="s">
        <v>314</v>
      </c>
    </row>
    <row r="115" spans="1:2">
      <c r="A115" s="62" t="s">
        <v>999</v>
      </c>
      <c r="B115" s="62" t="s">
        <v>311</v>
      </c>
    </row>
    <row r="116" spans="1:2">
      <c r="A116" s="62" t="s">
        <v>999</v>
      </c>
      <c r="B116" s="62" t="s">
        <v>314</v>
      </c>
    </row>
    <row r="117" spans="1:2">
      <c r="A117" s="62" t="s">
        <v>1007</v>
      </c>
      <c r="B117" s="62" t="s">
        <v>306</v>
      </c>
    </row>
    <row r="118" spans="1:2">
      <c r="A118" s="62" t="s">
        <v>1007</v>
      </c>
      <c r="B118" s="62" t="s">
        <v>311</v>
      </c>
    </row>
    <row r="119" spans="1:2">
      <c r="A119" s="62" t="s">
        <v>1007</v>
      </c>
      <c r="B119" s="62" t="s">
        <v>314</v>
      </c>
    </row>
  </sheetData>
  <sheetProtection selectLockedCells="1"/>
  <autoFilter ref="A2:B119" xr:uid="{00000000-0009-0000-0000-000005000000}"/>
  <mergeCells count="8">
    <mergeCell ref="AC1:AF1"/>
    <mergeCell ref="AG1:AJ1"/>
    <mergeCell ref="E1:H1"/>
    <mergeCell ref="I1:L1"/>
    <mergeCell ref="M1:P1"/>
    <mergeCell ref="Q1:T1"/>
    <mergeCell ref="U1:X1"/>
    <mergeCell ref="Y1:AB1"/>
  </mergeCells>
  <printOptions gridLines="1"/>
  <pageMargins left="0.196850393700787" right="0.196850393700787" top="0.196850393700787" bottom="0.196850393700787" header="0.31496062992126" footer="0.31496062992126"/>
  <pageSetup paperSize="9" scale="81" fitToHeight="1000" orientation="landscape" r:id="rId1"/>
  <colBreaks count="6" manualBreakCount="6">
    <brk id="12" max="118" man="1"/>
    <brk id="16" max="118" man="1"/>
    <brk id="20" max="118" man="1"/>
    <brk id="24" max="118" man="1"/>
    <brk id="28" max="118" man="1"/>
    <brk id="32" max="1048575" man="1"/>
  </colBreak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AJ502"/>
  <sheetViews>
    <sheetView tabSelected="1" workbookViewId="0">
      <pane xSplit="4" ySplit="2" topLeftCell="AF3" activePane="bottomRight" state="frozen"/>
      <selection pane="topRight" activeCell="E1" sqref="E1"/>
      <selection pane="bottomLeft" activeCell="A3" sqref="A3"/>
      <selection pane="bottomRight" activeCell="AJ2" sqref="AJ2"/>
    </sheetView>
  </sheetViews>
  <sheetFormatPr defaultRowHeight="15"/>
  <cols>
    <col min="1" max="1" width="27.7109375" customWidth="1"/>
    <col min="2" max="2" width="19.140625" bestFit="1" customWidth="1"/>
    <col min="3" max="3" width="10.140625" style="3" bestFit="1" customWidth="1"/>
    <col min="4" max="4" width="9.140625" style="3"/>
    <col min="5" max="8" width="12" bestFit="1" customWidth="1"/>
    <col min="9" max="12" width="14.85546875" style="22" bestFit="1" customWidth="1"/>
    <col min="13" max="16" width="17.28515625" bestFit="1" customWidth="1"/>
    <col min="17" max="20" width="23.85546875" bestFit="1" customWidth="1"/>
    <col min="21" max="24" width="22.42578125" bestFit="1" customWidth="1"/>
    <col min="25" max="28" width="18.5703125" bestFit="1" customWidth="1"/>
    <col min="29" max="32" width="23.5703125" bestFit="1" customWidth="1"/>
    <col min="33" max="36" width="23" bestFit="1" customWidth="1"/>
  </cols>
  <sheetData>
    <row r="1" spans="1:36" ht="30.75" customHeight="1">
      <c r="A1" t="e">
        <v>#N/A</v>
      </c>
    </row>
    <row r="2" spans="1:36">
      <c r="A2" s="4" t="s">
        <v>127</v>
      </c>
      <c r="B2" s="4" t="s">
        <v>128</v>
      </c>
      <c r="C2" s="4" t="s">
        <v>0</v>
      </c>
      <c r="D2" s="4" t="s">
        <v>1</v>
      </c>
      <c r="E2" s="36" t="s">
        <v>2</v>
      </c>
      <c r="F2" s="36" t="s">
        <v>3</v>
      </c>
      <c r="G2" s="36" t="s">
        <v>4</v>
      </c>
      <c r="H2" s="36" t="s">
        <v>5</v>
      </c>
      <c r="I2" s="37" t="s">
        <v>6</v>
      </c>
      <c r="J2" s="37" t="s">
        <v>7</v>
      </c>
      <c r="K2" s="37" t="s">
        <v>8</v>
      </c>
      <c r="L2" s="37" t="s">
        <v>9</v>
      </c>
      <c r="M2" s="36" t="s">
        <v>10</v>
      </c>
      <c r="N2" s="36" t="s">
        <v>11</v>
      </c>
      <c r="O2" s="36" t="s">
        <v>12</v>
      </c>
      <c r="P2" s="36" t="s">
        <v>13</v>
      </c>
      <c r="Q2" s="36" t="s">
        <v>14</v>
      </c>
      <c r="R2" s="36" t="s">
        <v>15</v>
      </c>
      <c r="S2" s="36" t="s">
        <v>16</v>
      </c>
      <c r="T2" s="36" t="s">
        <v>17</v>
      </c>
      <c r="U2" s="36" t="s">
        <v>18</v>
      </c>
      <c r="V2" s="36" t="s">
        <v>19</v>
      </c>
      <c r="W2" s="36" t="s">
        <v>20</v>
      </c>
      <c r="X2" s="36" t="s">
        <v>21</v>
      </c>
      <c r="Y2" s="36" t="s">
        <v>22</v>
      </c>
      <c r="Z2" s="36" t="s">
        <v>23</v>
      </c>
      <c r="AA2" s="36" t="s">
        <v>24</v>
      </c>
      <c r="AB2" s="36" t="s">
        <v>25</v>
      </c>
      <c r="AC2" s="36" t="s">
        <v>26</v>
      </c>
      <c r="AD2" s="36" t="s">
        <v>27</v>
      </c>
      <c r="AE2" s="36" t="s">
        <v>28</v>
      </c>
      <c r="AF2" s="36" t="s">
        <v>29</v>
      </c>
      <c r="AG2" s="36" t="s">
        <v>30</v>
      </c>
      <c r="AH2" s="36" t="s">
        <v>31</v>
      </c>
      <c r="AI2" s="36" t="s">
        <v>32</v>
      </c>
      <c r="AJ2" s="36" t="s">
        <v>33</v>
      </c>
    </row>
    <row r="3" spans="1:36">
      <c r="A3" t="s">
        <v>112</v>
      </c>
      <c r="B3" t="s">
        <v>305</v>
      </c>
      <c r="C3" s="2" t="s">
        <v>111</v>
      </c>
      <c r="D3" s="5" t="s">
        <v>35</v>
      </c>
      <c r="E3" s="38">
        <v>1000</v>
      </c>
      <c r="F3" s="38">
        <v>1000</v>
      </c>
      <c r="G3" s="38">
        <v>1000</v>
      </c>
      <c r="H3" s="38">
        <v>1000</v>
      </c>
      <c r="I3" s="39">
        <v>150</v>
      </c>
      <c r="J3" s="39">
        <v>150</v>
      </c>
      <c r="K3" s="39">
        <v>200</v>
      </c>
      <c r="L3" s="39">
        <v>200</v>
      </c>
      <c r="M3" s="38">
        <v>400</v>
      </c>
      <c r="N3" s="38">
        <v>400</v>
      </c>
      <c r="O3" s="38">
        <v>400</v>
      </c>
      <c r="P3" s="38">
        <v>400</v>
      </c>
      <c r="Q3" s="38">
        <v>120</v>
      </c>
      <c r="R3" s="38">
        <v>120</v>
      </c>
      <c r="S3" s="38">
        <v>120</v>
      </c>
      <c r="T3" s="38">
        <v>120</v>
      </c>
      <c r="U3" s="38">
        <v>120</v>
      </c>
      <c r="V3" s="38">
        <v>120</v>
      </c>
      <c r="W3" s="38">
        <v>120</v>
      </c>
      <c r="X3" s="38">
        <v>120</v>
      </c>
      <c r="Y3" s="38">
        <v>500</v>
      </c>
      <c r="Z3" s="38">
        <v>500</v>
      </c>
      <c r="AA3" s="38">
        <v>500</v>
      </c>
      <c r="AB3" s="38">
        <v>500</v>
      </c>
      <c r="AC3" s="38">
        <v>2</v>
      </c>
      <c r="AD3" s="38">
        <v>4</v>
      </c>
      <c r="AE3" s="38">
        <v>8</v>
      </c>
      <c r="AF3" s="38">
        <v>8</v>
      </c>
      <c r="AG3" s="38">
        <v>0</v>
      </c>
      <c r="AH3" s="38">
        <v>0</v>
      </c>
      <c r="AI3" s="38">
        <v>0</v>
      </c>
      <c r="AJ3" s="38">
        <v>0</v>
      </c>
    </row>
    <row r="4" spans="1:36">
      <c r="A4" t="s">
        <v>112</v>
      </c>
      <c r="B4" t="s">
        <v>305</v>
      </c>
      <c r="C4" s="2" t="s">
        <v>111</v>
      </c>
      <c r="D4" s="5" t="s">
        <v>35</v>
      </c>
      <c r="E4" s="38">
        <v>2000</v>
      </c>
      <c r="F4" s="38">
        <v>2000</v>
      </c>
      <c r="G4" s="38">
        <v>2000</v>
      </c>
      <c r="H4" s="38">
        <v>2000</v>
      </c>
      <c r="I4" s="39">
        <v>125</v>
      </c>
      <c r="J4" s="39">
        <v>125</v>
      </c>
      <c r="K4" s="39">
        <v>162.5</v>
      </c>
      <c r="L4" s="39">
        <v>162.5</v>
      </c>
      <c r="M4" s="38">
        <v>400</v>
      </c>
      <c r="N4" s="38">
        <v>400</v>
      </c>
      <c r="O4" s="38">
        <v>400</v>
      </c>
      <c r="P4" s="38">
        <v>400</v>
      </c>
      <c r="Q4" s="38">
        <v>120</v>
      </c>
      <c r="R4" s="38">
        <v>120</v>
      </c>
      <c r="S4" s="38">
        <v>120</v>
      </c>
      <c r="T4" s="38">
        <v>120</v>
      </c>
      <c r="U4" s="38">
        <v>120</v>
      </c>
      <c r="V4" s="38">
        <v>120</v>
      </c>
      <c r="W4" s="38">
        <v>120</v>
      </c>
      <c r="X4" s="38">
        <v>120</v>
      </c>
      <c r="Y4" s="38">
        <v>500</v>
      </c>
      <c r="Z4" s="38">
        <v>500</v>
      </c>
      <c r="AA4" s="38">
        <v>500</v>
      </c>
      <c r="AB4" s="38">
        <v>500</v>
      </c>
      <c r="AC4" s="38">
        <v>2</v>
      </c>
      <c r="AD4" s="38">
        <v>4</v>
      </c>
      <c r="AE4" s="38">
        <v>8</v>
      </c>
      <c r="AF4" s="38">
        <v>8</v>
      </c>
      <c r="AG4" s="38">
        <v>0</v>
      </c>
      <c r="AH4" s="38">
        <v>0</v>
      </c>
      <c r="AI4" s="38">
        <v>0</v>
      </c>
      <c r="AJ4" s="38">
        <v>0</v>
      </c>
    </row>
    <row r="5" spans="1:36">
      <c r="A5" t="s">
        <v>112</v>
      </c>
      <c r="B5" t="s">
        <v>305</v>
      </c>
      <c r="C5" s="2" t="s">
        <v>111</v>
      </c>
      <c r="D5" s="5" t="s">
        <v>35</v>
      </c>
      <c r="E5" s="38">
        <v>3000</v>
      </c>
      <c r="F5" s="38">
        <v>3000</v>
      </c>
      <c r="G5" s="38">
        <v>3000</v>
      </c>
      <c r="H5" s="38">
        <v>3000</v>
      </c>
      <c r="I5" s="39">
        <v>116.66666666666667</v>
      </c>
      <c r="J5" s="39">
        <v>116.66666666666667</v>
      </c>
      <c r="K5" s="39">
        <v>150</v>
      </c>
      <c r="L5" s="39">
        <v>150</v>
      </c>
      <c r="M5" s="38">
        <v>400</v>
      </c>
      <c r="N5" s="38">
        <v>400</v>
      </c>
      <c r="O5" s="38">
        <v>400</v>
      </c>
      <c r="P5" s="38">
        <v>400</v>
      </c>
      <c r="Q5" s="38">
        <v>120</v>
      </c>
      <c r="R5" s="38">
        <v>120</v>
      </c>
      <c r="S5" s="38">
        <v>120</v>
      </c>
      <c r="T5" s="38">
        <v>120</v>
      </c>
      <c r="U5" s="38">
        <v>120</v>
      </c>
      <c r="V5" s="38">
        <v>120</v>
      </c>
      <c r="W5" s="38">
        <v>120</v>
      </c>
      <c r="X5" s="38">
        <v>120</v>
      </c>
      <c r="Y5" s="38">
        <v>500</v>
      </c>
      <c r="Z5" s="38">
        <v>500</v>
      </c>
      <c r="AA5" s="38">
        <v>500</v>
      </c>
      <c r="AB5" s="38">
        <v>500</v>
      </c>
      <c r="AC5" s="38">
        <v>2</v>
      </c>
      <c r="AD5" s="38">
        <v>4</v>
      </c>
      <c r="AE5" s="38">
        <v>8</v>
      </c>
      <c r="AF5" s="38">
        <v>8</v>
      </c>
      <c r="AG5" s="38">
        <v>0</v>
      </c>
      <c r="AH5" s="38">
        <v>0</v>
      </c>
      <c r="AI5" s="38">
        <v>0</v>
      </c>
      <c r="AJ5" s="38">
        <v>0</v>
      </c>
    </row>
    <row r="6" spans="1:36">
      <c r="A6" t="s">
        <v>112</v>
      </c>
      <c r="B6" t="s">
        <v>305</v>
      </c>
      <c r="C6" s="2" t="s">
        <v>111</v>
      </c>
      <c r="D6" s="5" t="s">
        <v>35</v>
      </c>
      <c r="E6" s="38">
        <v>4000</v>
      </c>
      <c r="F6" s="38">
        <v>4000</v>
      </c>
      <c r="G6" s="38">
        <v>4000</v>
      </c>
      <c r="H6" s="38">
        <v>4000</v>
      </c>
      <c r="I6" s="39">
        <v>112.5</v>
      </c>
      <c r="J6" s="39">
        <v>112.5</v>
      </c>
      <c r="K6" s="39">
        <v>143.75</v>
      </c>
      <c r="L6" s="39">
        <v>143.75</v>
      </c>
      <c r="M6" s="38">
        <v>400</v>
      </c>
      <c r="N6" s="38">
        <v>400</v>
      </c>
      <c r="O6" s="38">
        <v>400</v>
      </c>
      <c r="P6" s="38">
        <v>400</v>
      </c>
      <c r="Q6" s="38">
        <v>120</v>
      </c>
      <c r="R6" s="38">
        <v>120</v>
      </c>
      <c r="S6" s="38">
        <v>120</v>
      </c>
      <c r="T6" s="38">
        <v>120</v>
      </c>
      <c r="U6" s="38">
        <v>120</v>
      </c>
      <c r="V6" s="38">
        <v>120</v>
      </c>
      <c r="W6" s="38">
        <v>120</v>
      </c>
      <c r="X6" s="38">
        <v>120</v>
      </c>
      <c r="Y6" s="38">
        <v>500</v>
      </c>
      <c r="Z6" s="38">
        <v>500</v>
      </c>
      <c r="AA6" s="38">
        <v>500</v>
      </c>
      <c r="AB6" s="38">
        <v>500</v>
      </c>
      <c r="AC6" s="38">
        <v>2</v>
      </c>
      <c r="AD6" s="38">
        <v>4</v>
      </c>
      <c r="AE6" s="38">
        <v>8</v>
      </c>
      <c r="AF6" s="38">
        <v>8</v>
      </c>
      <c r="AG6" s="38">
        <v>0</v>
      </c>
      <c r="AH6" s="38">
        <v>0</v>
      </c>
      <c r="AI6" s="38">
        <v>0</v>
      </c>
      <c r="AJ6" s="38">
        <v>0</v>
      </c>
    </row>
    <row r="7" spans="1:36">
      <c r="A7" t="s">
        <v>112</v>
      </c>
      <c r="B7" t="s">
        <v>305</v>
      </c>
      <c r="C7" s="2" t="s">
        <v>111</v>
      </c>
      <c r="D7" s="5" t="s">
        <v>35</v>
      </c>
      <c r="E7" s="38">
        <v>5000</v>
      </c>
      <c r="F7" s="38">
        <v>5000</v>
      </c>
      <c r="G7" s="38">
        <v>5000</v>
      </c>
      <c r="H7" s="38">
        <v>5000</v>
      </c>
      <c r="I7" s="39">
        <v>110</v>
      </c>
      <c r="J7" s="39">
        <v>110</v>
      </c>
      <c r="K7" s="39">
        <v>140</v>
      </c>
      <c r="L7" s="39">
        <v>140</v>
      </c>
      <c r="M7" s="38">
        <v>400</v>
      </c>
      <c r="N7" s="38">
        <v>400</v>
      </c>
      <c r="O7" s="38">
        <v>400</v>
      </c>
      <c r="P7" s="38">
        <v>400</v>
      </c>
      <c r="Q7" s="38">
        <v>120</v>
      </c>
      <c r="R7" s="38">
        <v>120</v>
      </c>
      <c r="S7" s="38">
        <v>120</v>
      </c>
      <c r="T7" s="38">
        <v>120</v>
      </c>
      <c r="U7" s="38">
        <v>120</v>
      </c>
      <c r="V7" s="38">
        <v>120</v>
      </c>
      <c r="W7" s="38">
        <v>120</v>
      </c>
      <c r="X7" s="38">
        <v>120</v>
      </c>
      <c r="Y7" s="38">
        <v>500</v>
      </c>
      <c r="Z7" s="38">
        <v>500</v>
      </c>
      <c r="AA7" s="38">
        <v>500</v>
      </c>
      <c r="AB7" s="38">
        <v>500</v>
      </c>
      <c r="AC7" s="38">
        <v>2</v>
      </c>
      <c r="AD7" s="38">
        <v>4</v>
      </c>
      <c r="AE7" s="38">
        <v>8</v>
      </c>
      <c r="AF7" s="38">
        <v>8</v>
      </c>
      <c r="AG7" s="38">
        <v>0</v>
      </c>
      <c r="AH7" s="38">
        <v>0</v>
      </c>
      <c r="AI7" s="38">
        <v>0</v>
      </c>
      <c r="AJ7" s="38">
        <v>0</v>
      </c>
    </row>
    <row r="8" spans="1:36">
      <c r="A8" t="s">
        <v>112</v>
      </c>
      <c r="B8" t="s">
        <v>305</v>
      </c>
      <c r="C8" s="2" t="s">
        <v>111</v>
      </c>
      <c r="D8" s="5" t="s">
        <v>35</v>
      </c>
      <c r="E8" s="38">
        <v>6000</v>
      </c>
      <c r="F8" s="38">
        <v>6000</v>
      </c>
      <c r="G8" s="38">
        <v>6000</v>
      </c>
      <c r="H8" s="38">
        <v>6000</v>
      </c>
      <c r="I8" s="39">
        <v>108.33333333333334</v>
      </c>
      <c r="J8" s="39">
        <v>108.33333333333334</v>
      </c>
      <c r="K8" s="39">
        <v>137.5</v>
      </c>
      <c r="L8" s="39">
        <v>137.5</v>
      </c>
      <c r="M8" s="38">
        <v>400</v>
      </c>
      <c r="N8" s="38">
        <v>400</v>
      </c>
      <c r="O8" s="38">
        <v>400</v>
      </c>
      <c r="P8" s="38">
        <v>400</v>
      </c>
      <c r="Q8" s="38">
        <v>120</v>
      </c>
      <c r="R8" s="38">
        <v>120</v>
      </c>
      <c r="S8" s="38">
        <v>120</v>
      </c>
      <c r="T8" s="38">
        <v>120</v>
      </c>
      <c r="U8" s="38">
        <v>120</v>
      </c>
      <c r="V8" s="38">
        <v>120</v>
      </c>
      <c r="W8" s="38">
        <v>120</v>
      </c>
      <c r="X8" s="38">
        <v>120</v>
      </c>
      <c r="Y8" s="38">
        <v>500</v>
      </c>
      <c r="Z8" s="38">
        <v>500</v>
      </c>
      <c r="AA8" s="38">
        <v>500</v>
      </c>
      <c r="AB8" s="38">
        <v>500</v>
      </c>
      <c r="AC8" s="38">
        <v>2</v>
      </c>
      <c r="AD8" s="38">
        <v>4</v>
      </c>
      <c r="AE8" s="38">
        <v>8</v>
      </c>
      <c r="AF8" s="38">
        <v>8</v>
      </c>
      <c r="AG8" s="38">
        <v>0</v>
      </c>
      <c r="AH8" s="38">
        <v>0</v>
      </c>
      <c r="AI8" s="38">
        <v>0</v>
      </c>
      <c r="AJ8" s="38">
        <v>0</v>
      </c>
    </row>
    <row r="9" spans="1:36">
      <c r="A9" t="s">
        <v>112</v>
      </c>
      <c r="B9" t="s">
        <v>305</v>
      </c>
      <c r="C9" s="2" t="s">
        <v>111</v>
      </c>
      <c r="D9" s="5" t="s">
        <v>35</v>
      </c>
      <c r="E9" s="38">
        <v>7000</v>
      </c>
      <c r="F9" s="38">
        <v>7000</v>
      </c>
      <c r="G9" s="38">
        <v>7000</v>
      </c>
      <c r="H9" s="38">
        <v>7000</v>
      </c>
      <c r="I9" s="39">
        <v>107.14285714285714</v>
      </c>
      <c r="J9" s="39">
        <v>107.14285714285714</v>
      </c>
      <c r="K9" s="39">
        <v>135.71</v>
      </c>
      <c r="L9" s="39">
        <v>135.71</v>
      </c>
      <c r="M9" s="38">
        <v>400</v>
      </c>
      <c r="N9" s="38">
        <v>400</v>
      </c>
      <c r="O9" s="38">
        <v>400</v>
      </c>
      <c r="P9" s="38">
        <v>400</v>
      </c>
      <c r="Q9" s="38">
        <v>120</v>
      </c>
      <c r="R9" s="38">
        <v>120</v>
      </c>
      <c r="S9" s="38">
        <v>120</v>
      </c>
      <c r="T9" s="38">
        <v>120</v>
      </c>
      <c r="U9" s="38">
        <v>120</v>
      </c>
      <c r="V9" s="38">
        <v>120</v>
      </c>
      <c r="W9" s="38">
        <v>120</v>
      </c>
      <c r="X9" s="38">
        <v>120</v>
      </c>
      <c r="Y9" s="38">
        <v>500</v>
      </c>
      <c r="Z9" s="38">
        <v>500</v>
      </c>
      <c r="AA9" s="38">
        <v>500</v>
      </c>
      <c r="AB9" s="38">
        <v>500</v>
      </c>
      <c r="AC9" s="38">
        <v>2</v>
      </c>
      <c r="AD9" s="38">
        <v>4</v>
      </c>
      <c r="AE9" s="38">
        <v>8</v>
      </c>
      <c r="AF9" s="38">
        <v>8</v>
      </c>
      <c r="AG9" s="38">
        <v>0</v>
      </c>
      <c r="AH9" s="38">
        <v>0</v>
      </c>
      <c r="AI9" s="38">
        <v>0</v>
      </c>
      <c r="AJ9" s="38">
        <v>0</v>
      </c>
    </row>
    <row r="10" spans="1:36">
      <c r="A10" t="s">
        <v>112</v>
      </c>
      <c r="B10" t="s">
        <v>305</v>
      </c>
      <c r="C10" s="2" t="s">
        <v>111</v>
      </c>
      <c r="D10" s="5" t="s">
        <v>35</v>
      </c>
      <c r="E10" s="38">
        <v>8000</v>
      </c>
      <c r="F10" s="38">
        <v>8000</v>
      </c>
      <c r="G10" s="38">
        <v>8000</v>
      </c>
      <c r="H10" s="38">
        <v>8000</v>
      </c>
      <c r="I10" s="39">
        <v>106.25</v>
      </c>
      <c r="J10" s="39">
        <v>106.25</v>
      </c>
      <c r="K10" s="39">
        <v>134.38</v>
      </c>
      <c r="L10" s="39">
        <v>134.38</v>
      </c>
      <c r="M10" s="38">
        <v>400</v>
      </c>
      <c r="N10" s="38">
        <v>400</v>
      </c>
      <c r="O10" s="38">
        <v>400</v>
      </c>
      <c r="P10" s="38">
        <v>400</v>
      </c>
      <c r="Q10" s="38">
        <v>120</v>
      </c>
      <c r="R10" s="38">
        <v>120</v>
      </c>
      <c r="S10" s="38">
        <v>120</v>
      </c>
      <c r="T10" s="38">
        <v>120</v>
      </c>
      <c r="U10" s="38">
        <v>120</v>
      </c>
      <c r="V10" s="38">
        <v>120</v>
      </c>
      <c r="W10" s="38">
        <v>120</v>
      </c>
      <c r="X10" s="38">
        <v>120</v>
      </c>
      <c r="Y10" s="38">
        <v>500</v>
      </c>
      <c r="Z10" s="38">
        <v>500</v>
      </c>
      <c r="AA10" s="38">
        <v>500</v>
      </c>
      <c r="AB10" s="38">
        <v>500</v>
      </c>
      <c r="AC10" s="38">
        <v>2</v>
      </c>
      <c r="AD10" s="38">
        <v>4</v>
      </c>
      <c r="AE10" s="38">
        <v>8</v>
      </c>
      <c r="AF10" s="38">
        <v>8</v>
      </c>
      <c r="AG10" s="38">
        <v>0</v>
      </c>
      <c r="AH10" s="38">
        <v>0</v>
      </c>
      <c r="AI10" s="38">
        <v>0</v>
      </c>
      <c r="AJ10" s="38">
        <v>0</v>
      </c>
    </row>
    <row r="11" spans="1:36">
      <c r="A11" t="s">
        <v>112</v>
      </c>
      <c r="B11" t="s">
        <v>305</v>
      </c>
      <c r="C11" s="2" t="s">
        <v>111</v>
      </c>
      <c r="D11" s="5" t="s">
        <v>35</v>
      </c>
      <c r="E11" s="38">
        <v>9000</v>
      </c>
      <c r="F11" s="38">
        <v>9000</v>
      </c>
      <c r="G11" s="38">
        <v>9000</v>
      </c>
      <c r="H11" s="38">
        <v>9000</v>
      </c>
      <c r="I11" s="39">
        <v>105.55555555555556</v>
      </c>
      <c r="J11" s="39">
        <v>105.55555555555556</v>
      </c>
      <c r="K11" s="39">
        <v>133.33000000000001</v>
      </c>
      <c r="L11" s="39">
        <v>133.33000000000001</v>
      </c>
      <c r="M11" s="38">
        <v>400</v>
      </c>
      <c r="N11" s="38">
        <v>400</v>
      </c>
      <c r="O11" s="38">
        <v>400</v>
      </c>
      <c r="P11" s="38">
        <v>400</v>
      </c>
      <c r="Q11" s="38">
        <v>120</v>
      </c>
      <c r="R11" s="38">
        <v>120</v>
      </c>
      <c r="S11" s="38">
        <v>120</v>
      </c>
      <c r="T11" s="38">
        <v>120</v>
      </c>
      <c r="U11" s="38">
        <v>120</v>
      </c>
      <c r="V11" s="38">
        <v>120</v>
      </c>
      <c r="W11" s="38">
        <v>120</v>
      </c>
      <c r="X11" s="38">
        <v>120</v>
      </c>
      <c r="Y11" s="38">
        <v>500</v>
      </c>
      <c r="Z11" s="38">
        <v>500</v>
      </c>
      <c r="AA11" s="38">
        <v>500</v>
      </c>
      <c r="AB11" s="38">
        <v>500</v>
      </c>
      <c r="AC11" s="38">
        <v>2</v>
      </c>
      <c r="AD11" s="38">
        <v>4</v>
      </c>
      <c r="AE11" s="38">
        <v>8</v>
      </c>
      <c r="AF11" s="38">
        <v>8</v>
      </c>
      <c r="AG11" s="38">
        <v>0</v>
      </c>
      <c r="AH11" s="38">
        <v>0</v>
      </c>
      <c r="AI11" s="38">
        <v>0</v>
      </c>
      <c r="AJ11" s="38">
        <v>0</v>
      </c>
    </row>
    <row r="12" spans="1:36">
      <c r="A12" t="s">
        <v>112</v>
      </c>
      <c r="B12" t="s">
        <v>305</v>
      </c>
      <c r="C12" s="2" t="s">
        <v>111</v>
      </c>
      <c r="D12" s="5" t="s">
        <v>35</v>
      </c>
      <c r="E12" s="38">
        <v>10000</v>
      </c>
      <c r="F12" s="38">
        <v>10000</v>
      </c>
      <c r="G12" s="38">
        <v>10000</v>
      </c>
      <c r="H12" s="38">
        <v>10000</v>
      </c>
      <c r="I12" s="39">
        <v>105</v>
      </c>
      <c r="J12" s="39">
        <v>105</v>
      </c>
      <c r="K12" s="39">
        <v>132.5</v>
      </c>
      <c r="L12" s="39">
        <v>132.5</v>
      </c>
      <c r="M12" s="38">
        <v>400</v>
      </c>
      <c r="N12" s="38">
        <v>400</v>
      </c>
      <c r="O12" s="38">
        <v>400</v>
      </c>
      <c r="P12" s="38">
        <v>400</v>
      </c>
      <c r="Q12" s="38">
        <v>120</v>
      </c>
      <c r="R12" s="38">
        <v>120</v>
      </c>
      <c r="S12" s="38">
        <v>120</v>
      </c>
      <c r="T12" s="38">
        <v>120</v>
      </c>
      <c r="U12" s="38">
        <v>120</v>
      </c>
      <c r="V12" s="38">
        <v>120</v>
      </c>
      <c r="W12" s="38">
        <v>120</v>
      </c>
      <c r="X12" s="38">
        <v>120</v>
      </c>
      <c r="Y12" s="38">
        <v>500</v>
      </c>
      <c r="Z12" s="38">
        <v>500</v>
      </c>
      <c r="AA12" s="38">
        <v>500</v>
      </c>
      <c r="AB12" s="38">
        <v>500</v>
      </c>
      <c r="AC12" s="38">
        <v>2</v>
      </c>
      <c r="AD12" s="38">
        <v>4</v>
      </c>
      <c r="AE12" s="38">
        <v>8</v>
      </c>
      <c r="AF12" s="38">
        <v>8</v>
      </c>
      <c r="AG12" s="38">
        <v>0</v>
      </c>
      <c r="AH12" s="38">
        <v>0</v>
      </c>
      <c r="AI12" s="38">
        <v>0</v>
      </c>
      <c r="AJ12" s="38">
        <v>0</v>
      </c>
    </row>
    <row r="13" spans="1:36">
      <c r="A13" t="s">
        <v>112</v>
      </c>
      <c r="B13" t="s">
        <v>305</v>
      </c>
      <c r="C13" s="2" t="s">
        <v>111</v>
      </c>
      <c r="D13" s="5" t="s">
        <v>35</v>
      </c>
      <c r="E13" s="38">
        <v>11000</v>
      </c>
      <c r="F13" s="38">
        <v>11000</v>
      </c>
      <c r="G13" s="38">
        <v>11000</v>
      </c>
      <c r="H13" s="38">
        <v>11000</v>
      </c>
      <c r="I13" s="39">
        <v>103.63636363636364</v>
      </c>
      <c r="J13" s="39">
        <v>103.63636363636364</v>
      </c>
      <c r="K13" s="39">
        <v>125</v>
      </c>
      <c r="L13" s="39">
        <v>125</v>
      </c>
      <c r="M13" s="38">
        <v>400</v>
      </c>
      <c r="N13" s="38">
        <v>400</v>
      </c>
      <c r="O13" s="38">
        <v>400</v>
      </c>
      <c r="P13" s="38">
        <v>400</v>
      </c>
      <c r="Q13" s="38">
        <v>120</v>
      </c>
      <c r="R13" s="38">
        <v>120</v>
      </c>
      <c r="S13" s="38">
        <v>120</v>
      </c>
      <c r="T13" s="38">
        <v>120</v>
      </c>
      <c r="U13" s="38">
        <v>120</v>
      </c>
      <c r="V13" s="38">
        <v>120</v>
      </c>
      <c r="W13" s="38">
        <v>120</v>
      </c>
      <c r="X13" s="38">
        <v>120</v>
      </c>
      <c r="Y13" s="38">
        <v>500</v>
      </c>
      <c r="Z13" s="38">
        <v>500</v>
      </c>
      <c r="AA13" s="38">
        <v>500</v>
      </c>
      <c r="AB13" s="38">
        <v>500</v>
      </c>
      <c r="AC13" s="38">
        <v>2</v>
      </c>
      <c r="AD13" s="38">
        <v>4</v>
      </c>
      <c r="AE13" s="38">
        <v>8</v>
      </c>
      <c r="AF13" s="38">
        <v>8</v>
      </c>
      <c r="AG13" s="38">
        <v>0</v>
      </c>
      <c r="AH13" s="38">
        <v>0</v>
      </c>
      <c r="AI13" s="38">
        <v>0</v>
      </c>
      <c r="AJ13" s="38">
        <v>0</v>
      </c>
    </row>
    <row r="14" spans="1:36">
      <c r="A14" t="s">
        <v>112</v>
      </c>
      <c r="B14" t="s">
        <v>305</v>
      </c>
      <c r="C14" s="2" t="s">
        <v>111</v>
      </c>
      <c r="D14" s="5" t="s">
        <v>35</v>
      </c>
      <c r="E14" s="38">
        <v>12000</v>
      </c>
      <c r="F14" s="38">
        <v>12000</v>
      </c>
      <c r="G14" s="38">
        <v>12000</v>
      </c>
      <c r="H14" s="38">
        <v>12000</v>
      </c>
      <c r="I14" s="39">
        <v>102.5</v>
      </c>
      <c r="J14" s="39">
        <v>102.5</v>
      </c>
      <c r="K14" s="39">
        <v>122.92</v>
      </c>
      <c r="L14" s="39">
        <v>122.92</v>
      </c>
      <c r="M14" s="38">
        <v>400</v>
      </c>
      <c r="N14" s="38">
        <v>400</v>
      </c>
      <c r="O14" s="38">
        <v>400</v>
      </c>
      <c r="P14" s="38">
        <v>400</v>
      </c>
      <c r="Q14" s="38">
        <v>120</v>
      </c>
      <c r="R14" s="38">
        <v>120</v>
      </c>
      <c r="S14" s="38">
        <v>120</v>
      </c>
      <c r="T14" s="38">
        <v>120</v>
      </c>
      <c r="U14" s="38">
        <v>120</v>
      </c>
      <c r="V14" s="38">
        <v>120</v>
      </c>
      <c r="W14" s="38">
        <v>120</v>
      </c>
      <c r="X14" s="38">
        <v>120</v>
      </c>
      <c r="Y14" s="38">
        <v>500</v>
      </c>
      <c r="Z14" s="38">
        <v>500</v>
      </c>
      <c r="AA14" s="38">
        <v>500</v>
      </c>
      <c r="AB14" s="38">
        <v>500</v>
      </c>
      <c r="AC14" s="38">
        <v>2</v>
      </c>
      <c r="AD14" s="38">
        <v>4</v>
      </c>
      <c r="AE14" s="38">
        <v>8</v>
      </c>
      <c r="AF14" s="38">
        <v>8</v>
      </c>
      <c r="AG14" s="38">
        <v>0</v>
      </c>
      <c r="AH14" s="38">
        <v>0</v>
      </c>
      <c r="AI14" s="38">
        <v>0</v>
      </c>
      <c r="AJ14" s="38">
        <v>0</v>
      </c>
    </row>
    <row r="15" spans="1:36">
      <c r="A15" t="s">
        <v>112</v>
      </c>
      <c r="B15" t="s">
        <v>305</v>
      </c>
      <c r="C15" s="2" t="s">
        <v>111</v>
      </c>
      <c r="D15" s="5" t="s">
        <v>35</v>
      </c>
      <c r="E15" s="38">
        <v>13000</v>
      </c>
      <c r="F15" s="38">
        <v>13000</v>
      </c>
      <c r="G15" s="38">
        <v>13000</v>
      </c>
      <c r="H15" s="38">
        <v>13000</v>
      </c>
      <c r="I15" s="39">
        <v>101.53846153846153</v>
      </c>
      <c r="J15" s="39">
        <v>101.53846153846153</v>
      </c>
      <c r="K15" s="39">
        <v>121.15</v>
      </c>
      <c r="L15" s="39">
        <v>121.15</v>
      </c>
      <c r="M15" s="38">
        <v>400</v>
      </c>
      <c r="N15" s="38">
        <v>400</v>
      </c>
      <c r="O15" s="38">
        <v>400</v>
      </c>
      <c r="P15" s="38">
        <v>400</v>
      </c>
      <c r="Q15" s="38">
        <v>120</v>
      </c>
      <c r="R15" s="38">
        <v>120</v>
      </c>
      <c r="S15" s="38">
        <v>120</v>
      </c>
      <c r="T15" s="38">
        <v>120</v>
      </c>
      <c r="U15" s="38">
        <v>120</v>
      </c>
      <c r="V15" s="38">
        <v>120</v>
      </c>
      <c r="W15" s="38">
        <v>120</v>
      </c>
      <c r="X15" s="38">
        <v>120</v>
      </c>
      <c r="Y15" s="38">
        <v>500</v>
      </c>
      <c r="Z15" s="38">
        <v>500</v>
      </c>
      <c r="AA15" s="38">
        <v>500</v>
      </c>
      <c r="AB15" s="38">
        <v>500</v>
      </c>
      <c r="AC15" s="38">
        <v>2</v>
      </c>
      <c r="AD15" s="38">
        <v>4</v>
      </c>
      <c r="AE15" s="38">
        <v>8</v>
      </c>
      <c r="AF15" s="38">
        <v>8</v>
      </c>
      <c r="AG15" s="38">
        <v>0</v>
      </c>
      <c r="AH15" s="38">
        <v>0</v>
      </c>
      <c r="AI15" s="38">
        <v>0</v>
      </c>
      <c r="AJ15" s="38">
        <v>0</v>
      </c>
    </row>
    <row r="16" spans="1:36">
      <c r="A16" t="s">
        <v>112</v>
      </c>
      <c r="B16" t="s">
        <v>305</v>
      </c>
      <c r="C16" s="2" t="s">
        <v>111</v>
      </c>
      <c r="D16" s="5" t="s">
        <v>35</v>
      </c>
      <c r="E16" s="38">
        <v>14000</v>
      </c>
      <c r="F16" s="38">
        <v>14000</v>
      </c>
      <c r="G16" s="38">
        <v>14000</v>
      </c>
      <c r="H16" s="38">
        <v>14000</v>
      </c>
      <c r="I16" s="39">
        <v>100.71428571428571</v>
      </c>
      <c r="J16" s="39">
        <v>100.71428571428571</v>
      </c>
      <c r="K16" s="39">
        <v>119.64</v>
      </c>
      <c r="L16" s="39">
        <v>119.64</v>
      </c>
      <c r="M16" s="38">
        <v>400</v>
      </c>
      <c r="N16" s="38">
        <v>400</v>
      </c>
      <c r="O16" s="38">
        <v>400</v>
      </c>
      <c r="P16" s="38">
        <v>400</v>
      </c>
      <c r="Q16" s="38">
        <v>120</v>
      </c>
      <c r="R16" s="38">
        <v>120</v>
      </c>
      <c r="S16" s="38">
        <v>120</v>
      </c>
      <c r="T16" s="38">
        <v>120</v>
      </c>
      <c r="U16" s="38">
        <v>120</v>
      </c>
      <c r="V16" s="38">
        <v>120</v>
      </c>
      <c r="W16" s="38">
        <v>120</v>
      </c>
      <c r="X16" s="38">
        <v>120</v>
      </c>
      <c r="Y16" s="38">
        <v>500</v>
      </c>
      <c r="Z16" s="38">
        <v>500</v>
      </c>
      <c r="AA16" s="38">
        <v>500</v>
      </c>
      <c r="AB16" s="38">
        <v>500</v>
      </c>
      <c r="AC16" s="38">
        <v>2</v>
      </c>
      <c r="AD16" s="38">
        <v>4</v>
      </c>
      <c r="AE16" s="38">
        <v>8</v>
      </c>
      <c r="AF16" s="38">
        <v>8</v>
      </c>
      <c r="AG16" s="38">
        <v>0</v>
      </c>
      <c r="AH16" s="38">
        <v>0</v>
      </c>
      <c r="AI16" s="38">
        <v>0</v>
      </c>
      <c r="AJ16" s="38">
        <v>0</v>
      </c>
    </row>
    <row r="17" spans="1:36">
      <c r="A17" t="s">
        <v>112</v>
      </c>
      <c r="B17" t="s">
        <v>305</v>
      </c>
      <c r="C17" s="2" t="s">
        <v>111</v>
      </c>
      <c r="D17" s="5" t="s">
        <v>35</v>
      </c>
      <c r="E17" s="38">
        <v>15000</v>
      </c>
      <c r="F17" s="38">
        <v>15000</v>
      </c>
      <c r="G17" s="38">
        <v>15000</v>
      </c>
      <c r="H17" s="38">
        <v>15000</v>
      </c>
      <c r="I17" s="39">
        <v>100</v>
      </c>
      <c r="J17" s="39">
        <v>100</v>
      </c>
      <c r="K17" s="39">
        <v>118.33</v>
      </c>
      <c r="L17" s="39">
        <v>118.33</v>
      </c>
      <c r="M17" s="38">
        <v>400</v>
      </c>
      <c r="N17" s="38">
        <v>400</v>
      </c>
      <c r="O17" s="38">
        <v>400</v>
      </c>
      <c r="P17" s="38">
        <v>400</v>
      </c>
      <c r="Q17" s="38">
        <v>120</v>
      </c>
      <c r="R17" s="38">
        <v>120</v>
      </c>
      <c r="S17" s="38">
        <v>120</v>
      </c>
      <c r="T17" s="38">
        <v>120</v>
      </c>
      <c r="U17" s="38">
        <v>120</v>
      </c>
      <c r="V17" s="38">
        <v>120</v>
      </c>
      <c r="W17" s="38">
        <v>120</v>
      </c>
      <c r="X17" s="38">
        <v>120</v>
      </c>
      <c r="Y17" s="38">
        <v>500</v>
      </c>
      <c r="Z17" s="38">
        <v>500</v>
      </c>
      <c r="AA17" s="38">
        <v>500</v>
      </c>
      <c r="AB17" s="38">
        <v>500</v>
      </c>
      <c r="AC17" s="38">
        <v>2</v>
      </c>
      <c r="AD17" s="38">
        <v>4</v>
      </c>
      <c r="AE17" s="38">
        <v>8</v>
      </c>
      <c r="AF17" s="38">
        <v>8</v>
      </c>
      <c r="AG17" s="38">
        <v>0</v>
      </c>
      <c r="AH17" s="38">
        <v>0</v>
      </c>
      <c r="AI17" s="38">
        <v>0</v>
      </c>
      <c r="AJ17" s="38">
        <v>0</v>
      </c>
    </row>
    <row r="18" spans="1:36">
      <c r="A18" t="s">
        <v>112</v>
      </c>
      <c r="B18" t="s">
        <v>305</v>
      </c>
      <c r="C18" s="2" t="s">
        <v>111</v>
      </c>
      <c r="D18" s="5" t="s">
        <v>35</v>
      </c>
      <c r="E18" s="38">
        <v>16000</v>
      </c>
      <c r="F18" s="38">
        <v>16000</v>
      </c>
      <c r="G18" s="38">
        <v>16000</v>
      </c>
      <c r="H18" s="38">
        <v>16000</v>
      </c>
      <c r="I18" s="39">
        <v>99.375</v>
      </c>
      <c r="J18" s="39">
        <v>99.375</v>
      </c>
      <c r="K18" s="39">
        <v>117.19</v>
      </c>
      <c r="L18" s="39">
        <v>117.19</v>
      </c>
      <c r="M18" s="38">
        <v>400</v>
      </c>
      <c r="N18" s="38">
        <v>400</v>
      </c>
      <c r="O18" s="38">
        <v>400</v>
      </c>
      <c r="P18" s="38">
        <v>400</v>
      </c>
      <c r="Q18" s="38">
        <v>120</v>
      </c>
      <c r="R18" s="38">
        <v>120</v>
      </c>
      <c r="S18" s="38">
        <v>120</v>
      </c>
      <c r="T18" s="38">
        <v>120</v>
      </c>
      <c r="U18" s="38">
        <v>120</v>
      </c>
      <c r="V18" s="38">
        <v>120</v>
      </c>
      <c r="W18" s="38">
        <v>120</v>
      </c>
      <c r="X18" s="38">
        <v>120</v>
      </c>
      <c r="Y18" s="38">
        <v>500</v>
      </c>
      <c r="Z18" s="38">
        <v>500</v>
      </c>
      <c r="AA18" s="38">
        <v>500</v>
      </c>
      <c r="AB18" s="38">
        <v>500</v>
      </c>
      <c r="AC18" s="38">
        <v>2</v>
      </c>
      <c r="AD18" s="38">
        <v>4</v>
      </c>
      <c r="AE18" s="38">
        <v>8</v>
      </c>
      <c r="AF18" s="38">
        <v>8</v>
      </c>
      <c r="AG18" s="38">
        <v>0</v>
      </c>
      <c r="AH18" s="38">
        <v>0</v>
      </c>
      <c r="AI18" s="38">
        <v>0</v>
      </c>
      <c r="AJ18" s="38">
        <v>0</v>
      </c>
    </row>
    <row r="19" spans="1:36">
      <c r="A19" t="s">
        <v>112</v>
      </c>
      <c r="B19" t="s">
        <v>305</v>
      </c>
      <c r="C19" s="2" t="s">
        <v>111</v>
      </c>
      <c r="D19" s="5" t="s">
        <v>35</v>
      </c>
      <c r="E19" s="38">
        <v>17000</v>
      </c>
      <c r="F19" s="38">
        <v>17000</v>
      </c>
      <c r="G19" s="38">
        <v>17000</v>
      </c>
      <c r="H19" s="38">
        <v>17000</v>
      </c>
      <c r="I19" s="39">
        <v>98.823529411764696</v>
      </c>
      <c r="J19" s="39">
        <v>98.823529411764696</v>
      </c>
      <c r="K19" s="39">
        <v>116.18</v>
      </c>
      <c r="L19" s="39">
        <v>116.18</v>
      </c>
      <c r="M19" s="38">
        <v>400</v>
      </c>
      <c r="N19" s="38">
        <v>400</v>
      </c>
      <c r="O19" s="38">
        <v>400</v>
      </c>
      <c r="P19" s="38">
        <v>400</v>
      </c>
      <c r="Q19" s="38">
        <v>120</v>
      </c>
      <c r="R19" s="38">
        <v>120</v>
      </c>
      <c r="S19" s="38">
        <v>120</v>
      </c>
      <c r="T19" s="38">
        <v>120</v>
      </c>
      <c r="U19" s="38">
        <v>120</v>
      </c>
      <c r="V19" s="38">
        <v>120</v>
      </c>
      <c r="W19" s="38">
        <v>120</v>
      </c>
      <c r="X19" s="38">
        <v>120</v>
      </c>
      <c r="Y19" s="38">
        <v>500</v>
      </c>
      <c r="Z19" s="38">
        <v>500</v>
      </c>
      <c r="AA19" s="38">
        <v>500</v>
      </c>
      <c r="AB19" s="38">
        <v>500</v>
      </c>
      <c r="AC19" s="38">
        <v>2</v>
      </c>
      <c r="AD19" s="38">
        <v>4</v>
      </c>
      <c r="AE19" s="38">
        <v>8</v>
      </c>
      <c r="AF19" s="38">
        <v>8</v>
      </c>
      <c r="AG19" s="38">
        <v>0</v>
      </c>
      <c r="AH19" s="38">
        <v>0</v>
      </c>
      <c r="AI19" s="38">
        <v>0</v>
      </c>
      <c r="AJ19" s="38">
        <v>0</v>
      </c>
    </row>
    <row r="20" spans="1:36">
      <c r="A20" t="s">
        <v>112</v>
      </c>
      <c r="B20" t="s">
        <v>305</v>
      </c>
      <c r="C20" s="2" t="s">
        <v>111</v>
      </c>
      <c r="D20" s="5" t="s">
        <v>35</v>
      </c>
      <c r="E20" s="38">
        <v>18000</v>
      </c>
      <c r="F20" s="38">
        <v>18000</v>
      </c>
      <c r="G20" s="38">
        <v>18000</v>
      </c>
      <c r="H20" s="38">
        <v>18000</v>
      </c>
      <c r="I20" s="39">
        <v>98.333333333333329</v>
      </c>
      <c r="J20" s="39">
        <v>98.333333333333329</v>
      </c>
      <c r="K20" s="39">
        <v>115.28</v>
      </c>
      <c r="L20" s="39">
        <v>115.28</v>
      </c>
      <c r="M20" s="38">
        <v>400</v>
      </c>
      <c r="N20" s="38">
        <v>400</v>
      </c>
      <c r="O20" s="38">
        <v>400</v>
      </c>
      <c r="P20" s="38">
        <v>400</v>
      </c>
      <c r="Q20" s="38">
        <v>120</v>
      </c>
      <c r="R20" s="38">
        <v>120</v>
      </c>
      <c r="S20" s="38">
        <v>120</v>
      </c>
      <c r="T20" s="38">
        <v>120</v>
      </c>
      <c r="U20" s="38">
        <v>120</v>
      </c>
      <c r="V20" s="38">
        <v>120</v>
      </c>
      <c r="W20" s="38">
        <v>120</v>
      </c>
      <c r="X20" s="38">
        <v>120</v>
      </c>
      <c r="Y20" s="38">
        <v>500</v>
      </c>
      <c r="Z20" s="38">
        <v>500</v>
      </c>
      <c r="AA20" s="38">
        <v>500</v>
      </c>
      <c r="AB20" s="38">
        <v>500</v>
      </c>
      <c r="AC20" s="38">
        <v>2</v>
      </c>
      <c r="AD20" s="38">
        <v>4</v>
      </c>
      <c r="AE20" s="38">
        <v>8</v>
      </c>
      <c r="AF20" s="38">
        <v>8</v>
      </c>
      <c r="AG20" s="38">
        <v>0</v>
      </c>
      <c r="AH20" s="38">
        <v>0</v>
      </c>
      <c r="AI20" s="38">
        <v>0</v>
      </c>
      <c r="AJ20" s="38">
        <v>0</v>
      </c>
    </row>
    <row r="21" spans="1:36">
      <c r="A21" t="s">
        <v>112</v>
      </c>
      <c r="B21" t="s">
        <v>305</v>
      </c>
      <c r="C21" s="2" t="s">
        <v>111</v>
      </c>
      <c r="D21" s="5" t="s">
        <v>35</v>
      </c>
      <c r="E21" s="38">
        <v>19000</v>
      </c>
      <c r="F21" s="38">
        <v>19000</v>
      </c>
      <c r="G21" s="38">
        <v>19000</v>
      </c>
      <c r="H21" s="38">
        <v>19000</v>
      </c>
      <c r="I21" s="39">
        <v>97.89473684210526</v>
      </c>
      <c r="J21" s="39">
        <v>97.89473684210526</v>
      </c>
      <c r="K21" s="39">
        <v>114.47</v>
      </c>
      <c r="L21" s="39">
        <v>114.47</v>
      </c>
      <c r="M21" s="38">
        <v>400</v>
      </c>
      <c r="N21" s="38">
        <v>400</v>
      </c>
      <c r="O21" s="38">
        <v>400</v>
      </c>
      <c r="P21" s="38">
        <v>400</v>
      </c>
      <c r="Q21" s="38">
        <v>120</v>
      </c>
      <c r="R21" s="38">
        <v>120</v>
      </c>
      <c r="S21" s="38">
        <v>120</v>
      </c>
      <c r="T21" s="38">
        <v>120</v>
      </c>
      <c r="U21" s="38">
        <v>120</v>
      </c>
      <c r="V21" s="38">
        <v>120</v>
      </c>
      <c r="W21" s="38">
        <v>120</v>
      </c>
      <c r="X21" s="38">
        <v>120</v>
      </c>
      <c r="Y21" s="38">
        <v>500</v>
      </c>
      <c r="Z21" s="38">
        <v>500</v>
      </c>
      <c r="AA21" s="38">
        <v>500</v>
      </c>
      <c r="AB21" s="38">
        <v>500</v>
      </c>
      <c r="AC21" s="38">
        <v>2</v>
      </c>
      <c r="AD21" s="38">
        <v>4</v>
      </c>
      <c r="AE21" s="38">
        <v>8</v>
      </c>
      <c r="AF21" s="38">
        <v>8</v>
      </c>
      <c r="AG21" s="38">
        <v>0</v>
      </c>
      <c r="AH21" s="38">
        <v>0</v>
      </c>
      <c r="AI21" s="38">
        <v>0</v>
      </c>
      <c r="AJ21" s="38">
        <v>0</v>
      </c>
    </row>
    <row r="22" spans="1:36">
      <c r="A22" t="s">
        <v>112</v>
      </c>
      <c r="B22" t="s">
        <v>305</v>
      </c>
      <c r="C22" s="2" t="s">
        <v>111</v>
      </c>
      <c r="D22" s="5" t="s">
        <v>35</v>
      </c>
      <c r="E22" s="38">
        <v>20000</v>
      </c>
      <c r="F22" s="38">
        <v>20000</v>
      </c>
      <c r="G22" s="38">
        <v>20000</v>
      </c>
      <c r="H22" s="38">
        <v>20000</v>
      </c>
      <c r="I22" s="39">
        <v>97.5</v>
      </c>
      <c r="J22" s="39">
        <v>97.5</v>
      </c>
      <c r="K22" s="39">
        <v>113.75</v>
      </c>
      <c r="L22" s="39">
        <v>113.75</v>
      </c>
      <c r="M22" s="38">
        <v>400</v>
      </c>
      <c r="N22" s="38">
        <v>400</v>
      </c>
      <c r="O22" s="38">
        <v>400</v>
      </c>
      <c r="P22" s="38">
        <v>400</v>
      </c>
      <c r="Q22" s="38">
        <v>120</v>
      </c>
      <c r="R22" s="38">
        <v>120</v>
      </c>
      <c r="S22" s="38">
        <v>120</v>
      </c>
      <c r="T22" s="38">
        <v>120</v>
      </c>
      <c r="U22" s="38">
        <v>120</v>
      </c>
      <c r="V22" s="38">
        <v>120</v>
      </c>
      <c r="W22" s="38">
        <v>120</v>
      </c>
      <c r="X22" s="38">
        <v>120</v>
      </c>
      <c r="Y22" s="38">
        <v>500</v>
      </c>
      <c r="Z22" s="38">
        <v>500</v>
      </c>
      <c r="AA22" s="38">
        <v>500</v>
      </c>
      <c r="AB22" s="38">
        <v>500</v>
      </c>
      <c r="AC22" s="38">
        <v>2</v>
      </c>
      <c r="AD22" s="38">
        <v>4</v>
      </c>
      <c r="AE22" s="38">
        <v>8</v>
      </c>
      <c r="AF22" s="38">
        <v>8</v>
      </c>
      <c r="AG22" s="38">
        <v>0</v>
      </c>
      <c r="AH22" s="38">
        <v>0</v>
      </c>
      <c r="AI22" s="38">
        <v>0</v>
      </c>
      <c r="AJ22" s="38">
        <v>0</v>
      </c>
    </row>
    <row r="23" spans="1:36">
      <c r="A23" t="s">
        <v>112</v>
      </c>
      <c r="B23" t="s">
        <v>305</v>
      </c>
      <c r="C23" s="2" t="s">
        <v>111</v>
      </c>
      <c r="D23" s="5" t="s">
        <v>35</v>
      </c>
      <c r="E23" s="38">
        <v>21000</v>
      </c>
      <c r="F23" s="38">
        <v>21000</v>
      </c>
      <c r="G23" s="38">
        <v>21000</v>
      </c>
      <c r="H23" s="38">
        <v>21000</v>
      </c>
      <c r="I23" s="39">
        <v>97.142857142857139</v>
      </c>
      <c r="J23" s="39">
        <v>97.142857142857139</v>
      </c>
      <c r="K23" s="39">
        <v>113.1</v>
      </c>
      <c r="L23" s="39">
        <v>113.1</v>
      </c>
      <c r="M23" s="38">
        <v>400</v>
      </c>
      <c r="N23" s="38">
        <v>400</v>
      </c>
      <c r="O23" s="38">
        <v>400</v>
      </c>
      <c r="P23" s="38">
        <v>400</v>
      </c>
      <c r="Q23" s="38">
        <v>120</v>
      </c>
      <c r="R23" s="38">
        <v>120</v>
      </c>
      <c r="S23" s="38">
        <v>120</v>
      </c>
      <c r="T23" s="38">
        <v>120</v>
      </c>
      <c r="U23" s="38">
        <v>120</v>
      </c>
      <c r="V23" s="38">
        <v>120</v>
      </c>
      <c r="W23" s="38">
        <v>120</v>
      </c>
      <c r="X23" s="38">
        <v>120</v>
      </c>
      <c r="Y23" s="38">
        <v>500</v>
      </c>
      <c r="Z23" s="38">
        <v>500</v>
      </c>
      <c r="AA23" s="38">
        <v>500</v>
      </c>
      <c r="AB23" s="38">
        <v>500</v>
      </c>
      <c r="AC23" s="38">
        <v>2</v>
      </c>
      <c r="AD23" s="38">
        <v>4</v>
      </c>
      <c r="AE23" s="38">
        <v>8</v>
      </c>
      <c r="AF23" s="38">
        <v>8</v>
      </c>
      <c r="AG23" s="38">
        <v>0</v>
      </c>
      <c r="AH23" s="38">
        <v>0</v>
      </c>
      <c r="AI23" s="38">
        <v>0</v>
      </c>
      <c r="AJ23" s="38">
        <v>0</v>
      </c>
    </row>
    <row r="24" spans="1:36">
      <c r="A24" t="s">
        <v>112</v>
      </c>
      <c r="B24" t="s">
        <v>305</v>
      </c>
      <c r="C24" s="2" t="s">
        <v>111</v>
      </c>
      <c r="D24" s="5" t="s">
        <v>35</v>
      </c>
      <c r="E24" s="38">
        <v>22000</v>
      </c>
      <c r="F24" s="38">
        <v>22000</v>
      </c>
      <c r="G24" s="38">
        <v>22000</v>
      </c>
      <c r="H24" s="38">
        <v>22000</v>
      </c>
      <c r="I24" s="39">
        <v>96.818181818181813</v>
      </c>
      <c r="J24" s="39">
        <v>96.818181818181813</v>
      </c>
      <c r="K24" s="39">
        <v>112.5</v>
      </c>
      <c r="L24" s="39">
        <v>112.5</v>
      </c>
      <c r="M24" s="38">
        <v>400</v>
      </c>
      <c r="N24" s="38">
        <v>400</v>
      </c>
      <c r="O24" s="38">
        <v>400</v>
      </c>
      <c r="P24" s="38">
        <v>400</v>
      </c>
      <c r="Q24" s="38">
        <v>120</v>
      </c>
      <c r="R24" s="38">
        <v>120</v>
      </c>
      <c r="S24" s="38">
        <v>120</v>
      </c>
      <c r="T24" s="38">
        <v>120</v>
      </c>
      <c r="U24" s="38">
        <v>120</v>
      </c>
      <c r="V24" s="38">
        <v>120</v>
      </c>
      <c r="W24" s="38">
        <v>120</v>
      </c>
      <c r="X24" s="38">
        <v>120</v>
      </c>
      <c r="Y24" s="38">
        <v>500</v>
      </c>
      <c r="Z24" s="38">
        <v>500</v>
      </c>
      <c r="AA24" s="38">
        <v>500</v>
      </c>
      <c r="AB24" s="38">
        <v>500</v>
      </c>
      <c r="AC24" s="38">
        <v>2</v>
      </c>
      <c r="AD24" s="38">
        <v>4</v>
      </c>
      <c r="AE24" s="38">
        <v>8</v>
      </c>
      <c r="AF24" s="38">
        <v>8</v>
      </c>
      <c r="AG24" s="38">
        <v>0</v>
      </c>
      <c r="AH24" s="38">
        <v>0</v>
      </c>
      <c r="AI24" s="38">
        <v>0</v>
      </c>
      <c r="AJ24" s="38">
        <v>0</v>
      </c>
    </row>
    <row r="25" spans="1:36">
      <c r="A25" t="s">
        <v>112</v>
      </c>
      <c r="B25" t="s">
        <v>305</v>
      </c>
      <c r="C25" s="2" t="s">
        <v>111</v>
      </c>
      <c r="D25" s="5" t="s">
        <v>35</v>
      </c>
      <c r="E25" s="38">
        <v>23000</v>
      </c>
      <c r="F25" s="38">
        <v>23000</v>
      </c>
      <c r="G25" s="38">
        <v>23000</v>
      </c>
      <c r="H25" s="38">
        <v>23000</v>
      </c>
      <c r="I25" s="39">
        <v>96.521739130434781</v>
      </c>
      <c r="J25" s="39">
        <v>96.521739130434781</v>
      </c>
      <c r="K25" s="39">
        <v>111.96</v>
      </c>
      <c r="L25" s="39">
        <v>111.96</v>
      </c>
      <c r="M25" s="38">
        <v>400</v>
      </c>
      <c r="N25" s="38">
        <v>400</v>
      </c>
      <c r="O25" s="38">
        <v>400</v>
      </c>
      <c r="P25" s="38">
        <v>400</v>
      </c>
      <c r="Q25" s="38">
        <v>120</v>
      </c>
      <c r="R25" s="38">
        <v>120</v>
      </c>
      <c r="S25" s="38">
        <v>120</v>
      </c>
      <c r="T25" s="38">
        <v>120</v>
      </c>
      <c r="U25" s="38">
        <v>120</v>
      </c>
      <c r="V25" s="38">
        <v>120</v>
      </c>
      <c r="W25" s="38">
        <v>120</v>
      </c>
      <c r="X25" s="38">
        <v>120</v>
      </c>
      <c r="Y25" s="38">
        <v>500</v>
      </c>
      <c r="Z25" s="38">
        <v>500</v>
      </c>
      <c r="AA25" s="38">
        <v>500</v>
      </c>
      <c r="AB25" s="38">
        <v>500</v>
      </c>
      <c r="AC25" s="38">
        <v>2</v>
      </c>
      <c r="AD25" s="38">
        <v>4</v>
      </c>
      <c r="AE25" s="38">
        <v>8</v>
      </c>
      <c r="AF25" s="38">
        <v>8</v>
      </c>
      <c r="AG25" s="38">
        <v>0</v>
      </c>
      <c r="AH25" s="38">
        <v>0</v>
      </c>
      <c r="AI25" s="38">
        <v>0</v>
      </c>
      <c r="AJ25" s="38">
        <v>0</v>
      </c>
    </row>
    <row r="26" spans="1:36">
      <c r="A26" t="s">
        <v>112</v>
      </c>
      <c r="B26" t="s">
        <v>305</v>
      </c>
      <c r="C26" s="2" t="s">
        <v>111</v>
      </c>
      <c r="D26" s="5" t="s">
        <v>35</v>
      </c>
      <c r="E26" s="38">
        <v>24000</v>
      </c>
      <c r="F26" s="38">
        <v>24000</v>
      </c>
      <c r="G26" s="38">
        <v>24000</v>
      </c>
      <c r="H26" s="38">
        <v>24000</v>
      </c>
      <c r="I26" s="39">
        <v>96.25</v>
      </c>
      <c r="J26" s="39">
        <v>96.25</v>
      </c>
      <c r="K26" s="39">
        <v>111.46</v>
      </c>
      <c r="L26" s="39">
        <v>111.46</v>
      </c>
      <c r="M26" s="38">
        <v>400</v>
      </c>
      <c r="N26" s="38">
        <v>400</v>
      </c>
      <c r="O26" s="38">
        <v>400</v>
      </c>
      <c r="P26" s="38">
        <v>400</v>
      </c>
      <c r="Q26" s="38">
        <v>120</v>
      </c>
      <c r="R26" s="38">
        <v>120</v>
      </c>
      <c r="S26" s="38">
        <v>120</v>
      </c>
      <c r="T26" s="38">
        <v>120</v>
      </c>
      <c r="U26" s="38">
        <v>120</v>
      </c>
      <c r="V26" s="38">
        <v>120</v>
      </c>
      <c r="W26" s="38">
        <v>120</v>
      </c>
      <c r="X26" s="38">
        <v>120</v>
      </c>
      <c r="Y26" s="38">
        <v>500</v>
      </c>
      <c r="Z26" s="38">
        <v>500</v>
      </c>
      <c r="AA26" s="38">
        <v>500</v>
      </c>
      <c r="AB26" s="38">
        <v>500</v>
      </c>
      <c r="AC26" s="38">
        <v>2</v>
      </c>
      <c r="AD26" s="38">
        <v>4</v>
      </c>
      <c r="AE26" s="38">
        <v>8</v>
      </c>
      <c r="AF26" s="38">
        <v>8</v>
      </c>
      <c r="AG26" s="38">
        <v>0</v>
      </c>
      <c r="AH26" s="38">
        <v>0</v>
      </c>
      <c r="AI26" s="38">
        <v>0</v>
      </c>
      <c r="AJ26" s="38">
        <v>0</v>
      </c>
    </row>
    <row r="27" spans="1:36">
      <c r="A27" t="s">
        <v>112</v>
      </c>
      <c r="B27" t="s">
        <v>305</v>
      </c>
      <c r="C27" s="2" t="s">
        <v>111</v>
      </c>
      <c r="D27" s="5" t="s">
        <v>35</v>
      </c>
      <c r="E27" s="38">
        <v>25000</v>
      </c>
      <c r="F27" s="38">
        <v>25000</v>
      </c>
      <c r="G27" s="38">
        <v>25000</v>
      </c>
      <c r="H27" s="38">
        <v>25000</v>
      </c>
      <c r="I27" s="39">
        <v>96</v>
      </c>
      <c r="J27" s="39">
        <v>96</v>
      </c>
      <c r="K27" s="39">
        <v>111</v>
      </c>
      <c r="L27" s="39">
        <v>111</v>
      </c>
      <c r="M27" s="38">
        <v>400</v>
      </c>
      <c r="N27" s="38">
        <v>400</v>
      </c>
      <c r="O27" s="38">
        <v>400</v>
      </c>
      <c r="P27" s="38">
        <v>400</v>
      </c>
      <c r="Q27" s="38">
        <v>120</v>
      </c>
      <c r="R27" s="38">
        <v>120</v>
      </c>
      <c r="S27" s="38">
        <v>120</v>
      </c>
      <c r="T27" s="38">
        <v>120</v>
      </c>
      <c r="U27" s="38">
        <v>120</v>
      </c>
      <c r="V27" s="38">
        <v>120</v>
      </c>
      <c r="W27" s="38">
        <v>120</v>
      </c>
      <c r="X27" s="38">
        <v>120</v>
      </c>
      <c r="Y27" s="38">
        <v>500</v>
      </c>
      <c r="Z27" s="38">
        <v>500</v>
      </c>
      <c r="AA27" s="38">
        <v>500</v>
      </c>
      <c r="AB27" s="38">
        <v>500</v>
      </c>
      <c r="AC27" s="38">
        <v>2</v>
      </c>
      <c r="AD27" s="38">
        <v>4</v>
      </c>
      <c r="AE27" s="38">
        <v>8</v>
      </c>
      <c r="AF27" s="38">
        <v>8</v>
      </c>
      <c r="AG27" s="38">
        <v>0</v>
      </c>
      <c r="AH27" s="38">
        <v>0</v>
      </c>
      <c r="AI27" s="38">
        <v>0</v>
      </c>
      <c r="AJ27" s="38">
        <v>0</v>
      </c>
    </row>
    <row r="28" spans="1:36">
      <c r="A28" t="s">
        <v>112</v>
      </c>
      <c r="B28" t="s">
        <v>305</v>
      </c>
      <c r="C28" s="2" t="s">
        <v>111</v>
      </c>
      <c r="D28" s="5" t="s">
        <v>35</v>
      </c>
      <c r="E28" s="38">
        <v>26000</v>
      </c>
      <c r="F28" s="38">
        <v>26000</v>
      </c>
      <c r="G28" s="38">
        <v>26000</v>
      </c>
      <c r="H28" s="38">
        <v>26000</v>
      </c>
      <c r="I28" s="39">
        <v>95.769230769230774</v>
      </c>
      <c r="J28" s="39">
        <v>95.769230769230774</v>
      </c>
      <c r="K28" s="39">
        <v>110.58</v>
      </c>
      <c r="L28" s="39">
        <v>110.58</v>
      </c>
      <c r="M28" s="38">
        <v>400</v>
      </c>
      <c r="N28" s="38">
        <v>400</v>
      </c>
      <c r="O28" s="38">
        <v>400</v>
      </c>
      <c r="P28" s="38">
        <v>400</v>
      </c>
      <c r="Q28" s="38">
        <v>120</v>
      </c>
      <c r="R28" s="38">
        <v>120</v>
      </c>
      <c r="S28" s="38">
        <v>120</v>
      </c>
      <c r="T28" s="38">
        <v>120</v>
      </c>
      <c r="U28" s="38">
        <v>120</v>
      </c>
      <c r="V28" s="38">
        <v>120</v>
      </c>
      <c r="W28" s="38">
        <v>120</v>
      </c>
      <c r="X28" s="38">
        <v>120</v>
      </c>
      <c r="Y28" s="38">
        <v>500</v>
      </c>
      <c r="Z28" s="38">
        <v>500</v>
      </c>
      <c r="AA28" s="38">
        <v>500</v>
      </c>
      <c r="AB28" s="38">
        <v>500</v>
      </c>
      <c r="AC28" s="38">
        <v>2</v>
      </c>
      <c r="AD28" s="38">
        <v>4</v>
      </c>
      <c r="AE28" s="38">
        <v>8</v>
      </c>
      <c r="AF28" s="38">
        <v>8</v>
      </c>
      <c r="AG28" s="38">
        <v>0</v>
      </c>
      <c r="AH28" s="38">
        <v>0</v>
      </c>
      <c r="AI28" s="38">
        <v>0</v>
      </c>
      <c r="AJ28" s="38">
        <v>0</v>
      </c>
    </row>
    <row r="29" spans="1:36">
      <c r="A29" t="s">
        <v>112</v>
      </c>
      <c r="B29" t="s">
        <v>305</v>
      </c>
      <c r="C29" s="2" t="s">
        <v>111</v>
      </c>
      <c r="D29" s="5" t="s">
        <v>35</v>
      </c>
      <c r="E29" s="38">
        <v>27000</v>
      </c>
      <c r="F29" s="38">
        <v>27000</v>
      </c>
      <c r="G29" s="38">
        <v>27000</v>
      </c>
      <c r="H29" s="38">
        <v>27000</v>
      </c>
      <c r="I29" s="39">
        <v>95.555555555555557</v>
      </c>
      <c r="J29" s="39">
        <v>95.555555555555557</v>
      </c>
      <c r="K29" s="39">
        <v>110.19</v>
      </c>
      <c r="L29" s="39">
        <v>110.19</v>
      </c>
      <c r="M29" s="38">
        <v>400</v>
      </c>
      <c r="N29" s="38">
        <v>400</v>
      </c>
      <c r="O29" s="38">
        <v>400</v>
      </c>
      <c r="P29" s="38">
        <v>400</v>
      </c>
      <c r="Q29" s="38">
        <v>120</v>
      </c>
      <c r="R29" s="38">
        <v>120</v>
      </c>
      <c r="S29" s="38">
        <v>120</v>
      </c>
      <c r="T29" s="38">
        <v>120</v>
      </c>
      <c r="U29" s="38">
        <v>120</v>
      </c>
      <c r="V29" s="38">
        <v>120</v>
      </c>
      <c r="W29" s="38">
        <v>120</v>
      </c>
      <c r="X29" s="38">
        <v>120</v>
      </c>
      <c r="Y29" s="38">
        <v>500</v>
      </c>
      <c r="Z29" s="38">
        <v>500</v>
      </c>
      <c r="AA29" s="38">
        <v>500</v>
      </c>
      <c r="AB29" s="38">
        <v>500</v>
      </c>
      <c r="AC29" s="38">
        <v>2</v>
      </c>
      <c r="AD29" s="38">
        <v>4</v>
      </c>
      <c r="AE29" s="38">
        <v>8</v>
      </c>
      <c r="AF29" s="38">
        <v>8</v>
      </c>
      <c r="AG29" s="38">
        <v>0</v>
      </c>
      <c r="AH29" s="38">
        <v>0</v>
      </c>
      <c r="AI29" s="38">
        <v>0</v>
      </c>
      <c r="AJ29" s="38">
        <v>0</v>
      </c>
    </row>
    <row r="30" spans="1:36">
      <c r="A30" t="s">
        <v>112</v>
      </c>
      <c r="B30" t="s">
        <v>305</v>
      </c>
      <c r="C30" s="2" t="s">
        <v>111</v>
      </c>
      <c r="D30" s="5" t="s">
        <v>35</v>
      </c>
      <c r="E30" s="38">
        <v>28000</v>
      </c>
      <c r="F30" s="38">
        <v>28000</v>
      </c>
      <c r="G30" s="38">
        <v>28000</v>
      </c>
      <c r="H30" s="38">
        <v>28000</v>
      </c>
      <c r="I30" s="39">
        <v>95.357142857142861</v>
      </c>
      <c r="J30" s="39">
        <v>95.357142857142861</v>
      </c>
      <c r="K30" s="39">
        <v>109.82</v>
      </c>
      <c r="L30" s="39">
        <v>109.82</v>
      </c>
      <c r="M30" s="38">
        <v>400</v>
      </c>
      <c r="N30" s="38">
        <v>400</v>
      </c>
      <c r="O30" s="38">
        <v>400</v>
      </c>
      <c r="P30" s="38">
        <v>400</v>
      </c>
      <c r="Q30" s="38">
        <v>120</v>
      </c>
      <c r="R30" s="38">
        <v>120</v>
      </c>
      <c r="S30" s="38">
        <v>120</v>
      </c>
      <c r="T30" s="38">
        <v>120</v>
      </c>
      <c r="U30" s="38">
        <v>120</v>
      </c>
      <c r="V30" s="38">
        <v>120</v>
      </c>
      <c r="W30" s="38">
        <v>120</v>
      </c>
      <c r="X30" s="38">
        <v>120</v>
      </c>
      <c r="Y30" s="38">
        <v>500</v>
      </c>
      <c r="Z30" s="38">
        <v>500</v>
      </c>
      <c r="AA30" s="38">
        <v>500</v>
      </c>
      <c r="AB30" s="38">
        <v>500</v>
      </c>
      <c r="AC30" s="38">
        <v>2</v>
      </c>
      <c r="AD30" s="38">
        <v>4</v>
      </c>
      <c r="AE30" s="38">
        <v>8</v>
      </c>
      <c r="AF30" s="38">
        <v>8</v>
      </c>
      <c r="AG30" s="38">
        <v>0</v>
      </c>
      <c r="AH30" s="38">
        <v>0</v>
      </c>
      <c r="AI30" s="38">
        <v>0</v>
      </c>
      <c r="AJ30" s="38">
        <v>0</v>
      </c>
    </row>
    <row r="31" spans="1:36">
      <c r="A31" t="s">
        <v>112</v>
      </c>
      <c r="B31" t="s">
        <v>305</v>
      </c>
      <c r="C31" s="2" t="s">
        <v>111</v>
      </c>
      <c r="D31" s="5" t="s">
        <v>35</v>
      </c>
      <c r="E31" s="38">
        <v>29000</v>
      </c>
      <c r="F31" s="38">
        <v>29000</v>
      </c>
      <c r="G31" s="38">
        <v>29000</v>
      </c>
      <c r="H31" s="38">
        <v>29000</v>
      </c>
      <c r="I31" s="39">
        <v>95.172413793103445</v>
      </c>
      <c r="J31" s="39">
        <v>95.172413793103445</v>
      </c>
      <c r="K31" s="39">
        <v>109.48</v>
      </c>
      <c r="L31" s="39">
        <v>109.48</v>
      </c>
      <c r="M31" s="38">
        <v>400</v>
      </c>
      <c r="N31" s="38">
        <v>400</v>
      </c>
      <c r="O31" s="38">
        <v>400</v>
      </c>
      <c r="P31" s="38">
        <v>400</v>
      </c>
      <c r="Q31" s="38">
        <v>120</v>
      </c>
      <c r="R31" s="38">
        <v>120</v>
      </c>
      <c r="S31" s="38">
        <v>120</v>
      </c>
      <c r="T31" s="38">
        <v>120</v>
      </c>
      <c r="U31" s="38">
        <v>120</v>
      </c>
      <c r="V31" s="38">
        <v>120</v>
      </c>
      <c r="W31" s="38">
        <v>120</v>
      </c>
      <c r="X31" s="38">
        <v>120</v>
      </c>
      <c r="Y31" s="38">
        <v>500</v>
      </c>
      <c r="Z31" s="38">
        <v>500</v>
      </c>
      <c r="AA31" s="38">
        <v>500</v>
      </c>
      <c r="AB31" s="38">
        <v>500</v>
      </c>
      <c r="AC31" s="38">
        <v>2</v>
      </c>
      <c r="AD31" s="38">
        <v>4</v>
      </c>
      <c r="AE31" s="38">
        <v>8</v>
      </c>
      <c r="AF31" s="38">
        <v>8</v>
      </c>
      <c r="AG31" s="38">
        <v>0</v>
      </c>
      <c r="AH31" s="38">
        <v>0</v>
      </c>
      <c r="AI31" s="38">
        <v>0</v>
      </c>
      <c r="AJ31" s="38">
        <v>0</v>
      </c>
    </row>
    <row r="32" spans="1:36">
      <c r="A32" t="s">
        <v>112</v>
      </c>
      <c r="B32" t="s">
        <v>305</v>
      </c>
      <c r="C32" s="2" t="s">
        <v>111</v>
      </c>
      <c r="D32" s="5" t="s">
        <v>35</v>
      </c>
      <c r="E32" s="38">
        <v>30000</v>
      </c>
      <c r="F32" s="38">
        <v>30000</v>
      </c>
      <c r="G32" s="38">
        <v>30000</v>
      </c>
      <c r="H32" s="38">
        <v>30000</v>
      </c>
      <c r="I32" s="39">
        <v>95</v>
      </c>
      <c r="J32" s="39">
        <v>95</v>
      </c>
      <c r="K32" s="39">
        <v>109.17</v>
      </c>
      <c r="L32" s="39">
        <v>109.17</v>
      </c>
      <c r="M32" s="38">
        <v>400</v>
      </c>
      <c r="N32" s="38">
        <v>400</v>
      </c>
      <c r="O32" s="38">
        <v>400</v>
      </c>
      <c r="P32" s="38">
        <v>400</v>
      </c>
      <c r="Q32" s="38">
        <v>120</v>
      </c>
      <c r="R32" s="38">
        <v>120</v>
      </c>
      <c r="S32" s="38">
        <v>120</v>
      </c>
      <c r="T32" s="38">
        <v>120</v>
      </c>
      <c r="U32" s="38">
        <v>120</v>
      </c>
      <c r="V32" s="38">
        <v>120</v>
      </c>
      <c r="W32" s="38">
        <v>120</v>
      </c>
      <c r="X32" s="38">
        <v>120</v>
      </c>
      <c r="Y32" s="38">
        <v>500</v>
      </c>
      <c r="Z32" s="38">
        <v>500</v>
      </c>
      <c r="AA32" s="38">
        <v>500</v>
      </c>
      <c r="AB32" s="38">
        <v>500</v>
      </c>
      <c r="AC32" s="38">
        <v>2</v>
      </c>
      <c r="AD32" s="38">
        <v>4</v>
      </c>
      <c r="AE32" s="38">
        <v>8</v>
      </c>
      <c r="AF32" s="38">
        <v>8</v>
      </c>
      <c r="AG32" s="38">
        <v>0</v>
      </c>
      <c r="AH32" s="38">
        <v>0</v>
      </c>
      <c r="AI32" s="38">
        <v>0</v>
      </c>
      <c r="AJ32" s="38">
        <v>0</v>
      </c>
    </row>
    <row r="33" spans="1:36">
      <c r="A33" t="s">
        <v>112</v>
      </c>
      <c r="B33" t="s">
        <v>305</v>
      </c>
      <c r="C33" s="2" t="s">
        <v>111</v>
      </c>
      <c r="D33" s="5" t="s">
        <v>35</v>
      </c>
      <c r="E33" s="38">
        <v>31000</v>
      </c>
      <c r="F33" s="38">
        <v>31000</v>
      </c>
      <c r="G33" s="38">
        <v>31000</v>
      </c>
      <c r="H33" s="38">
        <v>31000</v>
      </c>
      <c r="I33" s="39">
        <v>94.838709677419345</v>
      </c>
      <c r="J33" s="39">
        <v>94.838709677419345</v>
      </c>
      <c r="K33" s="39">
        <v>108.87</v>
      </c>
      <c r="L33" s="39">
        <v>108.87</v>
      </c>
      <c r="M33" s="38">
        <v>400</v>
      </c>
      <c r="N33" s="38">
        <v>400</v>
      </c>
      <c r="O33" s="38">
        <v>400</v>
      </c>
      <c r="P33" s="38">
        <v>400</v>
      </c>
      <c r="Q33" s="38">
        <v>120</v>
      </c>
      <c r="R33" s="38">
        <v>120</v>
      </c>
      <c r="S33" s="38">
        <v>120</v>
      </c>
      <c r="T33" s="38">
        <v>120</v>
      </c>
      <c r="U33" s="38">
        <v>120</v>
      </c>
      <c r="V33" s="38">
        <v>120</v>
      </c>
      <c r="W33" s="38">
        <v>120</v>
      </c>
      <c r="X33" s="38">
        <v>120</v>
      </c>
      <c r="Y33" s="38">
        <v>500</v>
      </c>
      <c r="Z33" s="38">
        <v>500</v>
      </c>
      <c r="AA33" s="38">
        <v>500</v>
      </c>
      <c r="AB33" s="38">
        <v>500</v>
      </c>
      <c r="AC33" s="38">
        <v>2</v>
      </c>
      <c r="AD33" s="38">
        <v>4</v>
      </c>
      <c r="AE33" s="38">
        <v>8</v>
      </c>
      <c r="AF33" s="38">
        <v>8</v>
      </c>
      <c r="AG33" s="38">
        <v>0</v>
      </c>
      <c r="AH33" s="38">
        <v>0</v>
      </c>
      <c r="AI33" s="38">
        <v>0</v>
      </c>
      <c r="AJ33" s="38">
        <v>0</v>
      </c>
    </row>
    <row r="34" spans="1:36">
      <c r="A34" t="s">
        <v>112</v>
      </c>
      <c r="B34" t="s">
        <v>305</v>
      </c>
      <c r="C34" s="2" t="s">
        <v>111</v>
      </c>
      <c r="D34" s="5" t="s">
        <v>35</v>
      </c>
      <c r="E34" s="38">
        <v>32000</v>
      </c>
      <c r="F34" s="38">
        <v>32000</v>
      </c>
      <c r="G34" s="38">
        <v>32000</v>
      </c>
      <c r="H34" s="38">
        <v>32000</v>
      </c>
      <c r="I34" s="39">
        <v>94.6875</v>
      </c>
      <c r="J34" s="39">
        <v>94.6875</v>
      </c>
      <c r="K34" s="39">
        <v>108.59</v>
      </c>
      <c r="L34" s="39">
        <v>108.59</v>
      </c>
      <c r="M34" s="38">
        <v>400</v>
      </c>
      <c r="N34" s="38">
        <v>400</v>
      </c>
      <c r="O34" s="38">
        <v>400</v>
      </c>
      <c r="P34" s="38">
        <v>400</v>
      </c>
      <c r="Q34" s="38">
        <v>120</v>
      </c>
      <c r="R34" s="38">
        <v>120</v>
      </c>
      <c r="S34" s="38">
        <v>120</v>
      </c>
      <c r="T34" s="38">
        <v>120</v>
      </c>
      <c r="U34" s="38">
        <v>120</v>
      </c>
      <c r="V34" s="38">
        <v>120</v>
      </c>
      <c r="W34" s="38">
        <v>120</v>
      </c>
      <c r="X34" s="38">
        <v>120</v>
      </c>
      <c r="Y34" s="38">
        <v>500</v>
      </c>
      <c r="Z34" s="38">
        <v>500</v>
      </c>
      <c r="AA34" s="38">
        <v>500</v>
      </c>
      <c r="AB34" s="38">
        <v>500</v>
      </c>
      <c r="AC34" s="38">
        <v>2</v>
      </c>
      <c r="AD34" s="38">
        <v>4</v>
      </c>
      <c r="AE34" s="38">
        <v>8</v>
      </c>
      <c r="AF34" s="38">
        <v>8</v>
      </c>
      <c r="AG34" s="38">
        <v>0</v>
      </c>
      <c r="AH34" s="38">
        <v>0</v>
      </c>
      <c r="AI34" s="38">
        <v>0</v>
      </c>
      <c r="AJ34" s="38">
        <v>0</v>
      </c>
    </row>
    <row r="35" spans="1:36">
      <c r="A35" t="s">
        <v>112</v>
      </c>
      <c r="B35" t="s">
        <v>305</v>
      </c>
      <c r="C35" s="2" t="s">
        <v>111</v>
      </c>
      <c r="D35" s="5" t="s">
        <v>35</v>
      </c>
      <c r="E35" s="38">
        <v>33000</v>
      </c>
      <c r="F35" s="38">
        <v>33000</v>
      </c>
      <c r="G35" s="38">
        <v>33000</v>
      </c>
      <c r="H35" s="38">
        <v>33000</v>
      </c>
      <c r="I35" s="39">
        <v>94.545454545454547</v>
      </c>
      <c r="J35" s="39">
        <v>94.545454545454547</v>
      </c>
      <c r="K35" s="39">
        <v>108.33</v>
      </c>
      <c r="L35" s="39">
        <v>108.33</v>
      </c>
      <c r="M35" s="38">
        <v>400</v>
      </c>
      <c r="N35" s="38">
        <v>400</v>
      </c>
      <c r="O35" s="38">
        <v>400</v>
      </c>
      <c r="P35" s="38">
        <v>400</v>
      </c>
      <c r="Q35" s="38">
        <v>120</v>
      </c>
      <c r="R35" s="38">
        <v>120</v>
      </c>
      <c r="S35" s="38">
        <v>120</v>
      </c>
      <c r="T35" s="38">
        <v>120</v>
      </c>
      <c r="U35" s="38">
        <v>120</v>
      </c>
      <c r="V35" s="38">
        <v>120</v>
      </c>
      <c r="W35" s="38">
        <v>120</v>
      </c>
      <c r="X35" s="38">
        <v>120</v>
      </c>
      <c r="Y35" s="38">
        <v>500</v>
      </c>
      <c r="Z35" s="38">
        <v>500</v>
      </c>
      <c r="AA35" s="38">
        <v>500</v>
      </c>
      <c r="AB35" s="38">
        <v>500</v>
      </c>
      <c r="AC35" s="38">
        <v>2</v>
      </c>
      <c r="AD35" s="38">
        <v>4</v>
      </c>
      <c r="AE35" s="38">
        <v>8</v>
      </c>
      <c r="AF35" s="38">
        <v>8</v>
      </c>
      <c r="AG35" s="38">
        <v>0</v>
      </c>
      <c r="AH35" s="38">
        <v>0</v>
      </c>
      <c r="AI35" s="38">
        <v>0</v>
      </c>
      <c r="AJ35" s="38">
        <v>0</v>
      </c>
    </row>
    <row r="36" spans="1:36">
      <c r="A36" t="s">
        <v>112</v>
      </c>
      <c r="B36" t="s">
        <v>305</v>
      </c>
      <c r="C36" s="2" t="s">
        <v>111</v>
      </c>
      <c r="D36" s="5" t="s">
        <v>35</v>
      </c>
      <c r="E36" s="38">
        <v>34000</v>
      </c>
      <c r="F36" s="38">
        <v>34000</v>
      </c>
      <c r="G36" s="38">
        <v>34000</v>
      </c>
      <c r="H36" s="38">
        <v>34000</v>
      </c>
      <c r="I36" s="39">
        <v>94.411764705882348</v>
      </c>
      <c r="J36" s="39">
        <v>94.411764705882348</v>
      </c>
      <c r="K36" s="39">
        <v>108.09</v>
      </c>
      <c r="L36" s="39">
        <v>108.09</v>
      </c>
      <c r="M36" s="38">
        <v>400</v>
      </c>
      <c r="N36" s="38">
        <v>400</v>
      </c>
      <c r="O36" s="38">
        <v>400</v>
      </c>
      <c r="P36" s="38">
        <v>400</v>
      </c>
      <c r="Q36" s="38">
        <v>120</v>
      </c>
      <c r="R36" s="38">
        <v>120</v>
      </c>
      <c r="S36" s="38">
        <v>120</v>
      </c>
      <c r="T36" s="38">
        <v>120</v>
      </c>
      <c r="U36" s="38">
        <v>120</v>
      </c>
      <c r="V36" s="38">
        <v>120</v>
      </c>
      <c r="W36" s="38">
        <v>120</v>
      </c>
      <c r="X36" s="38">
        <v>120</v>
      </c>
      <c r="Y36" s="38">
        <v>500</v>
      </c>
      <c r="Z36" s="38">
        <v>500</v>
      </c>
      <c r="AA36" s="38">
        <v>500</v>
      </c>
      <c r="AB36" s="38">
        <v>500</v>
      </c>
      <c r="AC36" s="38">
        <v>2</v>
      </c>
      <c r="AD36" s="38">
        <v>4</v>
      </c>
      <c r="AE36" s="38">
        <v>8</v>
      </c>
      <c r="AF36" s="38">
        <v>8</v>
      </c>
      <c r="AG36" s="38">
        <v>0</v>
      </c>
      <c r="AH36" s="38">
        <v>0</v>
      </c>
      <c r="AI36" s="38">
        <v>0</v>
      </c>
      <c r="AJ36" s="38">
        <v>0</v>
      </c>
    </row>
    <row r="37" spans="1:36">
      <c r="A37" t="s">
        <v>112</v>
      </c>
      <c r="B37" t="s">
        <v>305</v>
      </c>
      <c r="C37" s="2" t="s">
        <v>111</v>
      </c>
      <c r="D37" s="5" t="s">
        <v>35</v>
      </c>
      <c r="E37" s="38">
        <v>35000</v>
      </c>
      <c r="F37" s="38">
        <v>35000</v>
      </c>
      <c r="G37" s="38">
        <v>35000</v>
      </c>
      <c r="H37" s="38">
        <v>35000</v>
      </c>
      <c r="I37" s="39">
        <v>94.285714285714292</v>
      </c>
      <c r="J37" s="39">
        <v>94.285714285714292</v>
      </c>
      <c r="K37" s="39">
        <v>107.86</v>
      </c>
      <c r="L37" s="39">
        <v>107.86</v>
      </c>
      <c r="M37" s="38">
        <v>400</v>
      </c>
      <c r="N37" s="38">
        <v>400</v>
      </c>
      <c r="O37" s="38">
        <v>400</v>
      </c>
      <c r="P37" s="38">
        <v>400</v>
      </c>
      <c r="Q37" s="38">
        <v>120</v>
      </c>
      <c r="R37" s="38">
        <v>120</v>
      </c>
      <c r="S37" s="38">
        <v>120</v>
      </c>
      <c r="T37" s="38">
        <v>120</v>
      </c>
      <c r="U37" s="38">
        <v>120</v>
      </c>
      <c r="V37" s="38">
        <v>120</v>
      </c>
      <c r="W37" s="38">
        <v>120</v>
      </c>
      <c r="X37" s="38">
        <v>120</v>
      </c>
      <c r="Y37" s="38">
        <v>500</v>
      </c>
      <c r="Z37" s="38">
        <v>500</v>
      </c>
      <c r="AA37" s="38">
        <v>500</v>
      </c>
      <c r="AB37" s="38">
        <v>500</v>
      </c>
      <c r="AC37" s="38">
        <v>2</v>
      </c>
      <c r="AD37" s="38">
        <v>4</v>
      </c>
      <c r="AE37" s="38">
        <v>8</v>
      </c>
      <c r="AF37" s="38">
        <v>8</v>
      </c>
      <c r="AG37" s="38">
        <v>0</v>
      </c>
      <c r="AH37" s="38">
        <v>0</v>
      </c>
      <c r="AI37" s="38">
        <v>0</v>
      </c>
      <c r="AJ37" s="38">
        <v>0</v>
      </c>
    </row>
    <row r="38" spans="1:36">
      <c r="A38" t="s">
        <v>112</v>
      </c>
      <c r="B38" t="s">
        <v>305</v>
      </c>
      <c r="C38" s="2" t="s">
        <v>111</v>
      </c>
      <c r="D38" s="5" t="s">
        <v>35</v>
      </c>
      <c r="E38" s="38">
        <v>36000</v>
      </c>
      <c r="F38" s="38">
        <v>36000</v>
      </c>
      <c r="G38" s="38">
        <v>36000</v>
      </c>
      <c r="H38" s="38">
        <v>36000</v>
      </c>
      <c r="I38" s="39">
        <v>94.166666666666657</v>
      </c>
      <c r="J38" s="39">
        <v>94.166666666666657</v>
      </c>
      <c r="K38" s="39">
        <v>107.64</v>
      </c>
      <c r="L38" s="39">
        <v>107.64</v>
      </c>
      <c r="M38" s="38">
        <v>400</v>
      </c>
      <c r="N38" s="38">
        <v>400</v>
      </c>
      <c r="O38" s="38">
        <v>400</v>
      </c>
      <c r="P38" s="38">
        <v>400</v>
      </c>
      <c r="Q38" s="38">
        <v>120</v>
      </c>
      <c r="R38" s="38">
        <v>120</v>
      </c>
      <c r="S38" s="38">
        <v>120</v>
      </c>
      <c r="T38" s="38">
        <v>120</v>
      </c>
      <c r="U38" s="38">
        <v>120</v>
      </c>
      <c r="V38" s="38">
        <v>120</v>
      </c>
      <c r="W38" s="38">
        <v>120</v>
      </c>
      <c r="X38" s="38">
        <v>120</v>
      </c>
      <c r="Y38" s="38">
        <v>500</v>
      </c>
      <c r="Z38" s="38">
        <v>500</v>
      </c>
      <c r="AA38" s="38">
        <v>500</v>
      </c>
      <c r="AB38" s="38">
        <v>500</v>
      </c>
      <c r="AC38" s="38">
        <v>2</v>
      </c>
      <c r="AD38" s="38">
        <v>4</v>
      </c>
      <c r="AE38" s="38">
        <v>8</v>
      </c>
      <c r="AF38" s="38">
        <v>8</v>
      </c>
      <c r="AG38" s="38">
        <v>0</v>
      </c>
      <c r="AH38" s="38">
        <v>0</v>
      </c>
      <c r="AI38" s="38">
        <v>0</v>
      </c>
      <c r="AJ38" s="38">
        <v>0</v>
      </c>
    </row>
    <row r="39" spans="1:36">
      <c r="A39" t="s">
        <v>112</v>
      </c>
      <c r="B39" t="s">
        <v>305</v>
      </c>
      <c r="C39" s="2" t="s">
        <v>111</v>
      </c>
      <c r="D39" s="5" t="s">
        <v>35</v>
      </c>
      <c r="E39" s="38">
        <v>37000</v>
      </c>
      <c r="F39" s="38">
        <v>37000</v>
      </c>
      <c r="G39" s="38">
        <v>37000</v>
      </c>
      <c r="H39" s="38">
        <v>37000</v>
      </c>
      <c r="I39" s="39">
        <v>94.054054054054049</v>
      </c>
      <c r="J39" s="39">
        <v>94.054054054054049</v>
      </c>
      <c r="K39" s="39">
        <v>107.43</v>
      </c>
      <c r="L39" s="39">
        <v>107.43</v>
      </c>
      <c r="M39" s="38">
        <v>400</v>
      </c>
      <c r="N39" s="38">
        <v>400</v>
      </c>
      <c r="O39" s="38">
        <v>400</v>
      </c>
      <c r="P39" s="38">
        <v>400</v>
      </c>
      <c r="Q39" s="38">
        <v>120</v>
      </c>
      <c r="R39" s="38">
        <v>120</v>
      </c>
      <c r="S39" s="38">
        <v>120</v>
      </c>
      <c r="T39" s="38">
        <v>120</v>
      </c>
      <c r="U39" s="38">
        <v>120</v>
      </c>
      <c r="V39" s="38">
        <v>120</v>
      </c>
      <c r="W39" s="38">
        <v>120</v>
      </c>
      <c r="X39" s="38">
        <v>120</v>
      </c>
      <c r="Y39" s="38">
        <v>500</v>
      </c>
      <c r="Z39" s="38">
        <v>500</v>
      </c>
      <c r="AA39" s="38">
        <v>500</v>
      </c>
      <c r="AB39" s="38">
        <v>500</v>
      </c>
      <c r="AC39" s="38">
        <v>2</v>
      </c>
      <c r="AD39" s="38">
        <v>4</v>
      </c>
      <c r="AE39" s="38">
        <v>8</v>
      </c>
      <c r="AF39" s="38">
        <v>8</v>
      </c>
      <c r="AG39" s="38">
        <v>0</v>
      </c>
      <c r="AH39" s="38">
        <v>0</v>
      </c>
      <c r="AI39" s="38">
        <v>0</v>
      </c>
      <c r="AJ39" s="38">
        <v>0</v>
      </c>
    </row>
    <row r="40" spans="1:36">
      <c r="A40" t="s">
        <v>112</v>
      </c>
      <c r="B40" t="s">
        <v>305</v>
      </c>
      <c r="C40" s="2" t="s">
        <v>111</v>
      </c>
      <c r="D40" s="5" t="s">
        <v>35</v>
      </c>
      <c r="E40" s="38">
        <v>38000</v>
      </c>
      <c r="F40" s="38">
        <v>38000</v>
      </c>
      <c r="G40" s="38">
        <v>38000</v>
      </c>
      <c r="H40" s="38">
        <v>38000</v>
      </c>
      <c r="I40" s="39">
        <v>93.94736842105263</v>
      </c>
      <c r="J40" s="39">
        <v>93.94736842105263</v>
      </c>
      <c r="K40" s="39">
        <v>107.24</v>
      </c>
      <c r="L40" s="39">
        <v>107.24</v>
      </c>
      <c r="M40" s="38">
        <v>400</v>
      </c>
      <c r="N40" s="38">
        <v>400</v>
      </c>
      <c r="O40" s="38">
        <v>400</v>
      </c>
      <c r="P40" s="38">
        <v>400</v>
      </c>
      <c r="Q40" s="38">
        <v>120</v>
      </c>
      <c r="R40" s="38">
        <v>120</v>
      </c>
      <c r="S40" s="38">
        <v>120</v>
      </c>
      <c r="T40" s="38">
        <v>120</v>
      </c>
      <c r="U40" s="38">
        <v>120</v>
      </c>
      <c r="V40" s="38">
        <v>120</v>
      </c>
      <c r="W40" s="38">
        <v>120</v>
      </c>
      <c r="X40" s="38">
        <v>120</v>
      </c>
      <c r="Y40" s="38">
        <v>500</v>
      </c>
      <c r="Z40" s="38">
        <v>500</v>
      </c>
      <c r="AA40" s="38">
        <v>500</v>
      </c>
      <c r="AB40" s="38">
        <v>500</v>
      </c>
      <c r="AC40" s="38">
        <v>2</v>
      </c>
      <c r="AD40" s="38">
        <v>4</v>
      </c>
      <c r="AE40" s="38">
        <v>8</v>
      </c>
      <c r="AF40" s="38">
        <v>8</v>
      </c>
      <c r="AG40" s="38">
        <v>0</v>
      </c>
      <c r="AH40" s="38">
        <v>0</v>
      </c>
      <c r="AI40" s="38">
        <v>0</v>
      </c>
      <c r="AJ40" s="38">
        <v>0</v>
      </c>
    </row>
    <row r="41" spans="1:36">
      <c r="A41" t="s">
        <v>112</v>
      </c>
      <c r="B41" t="s">
        <v>305</v>
      </c>
      <c r="C41" s="2" t="s">
        <v>111</v>
      </c>
      <c r="D41" s="5" t="s">
        <v>35</v>
      </c>
      <c r="E41" s="38">
        <v>39000</v>
      </c>
      <c r="F41" s="38">
        <v>39000</v>
      </c>
      <c r="G41" s="38">
        <v>39000</v>
      </c>
      <c r="H41" s="38">
        <v>39000</v>
      </c>
      <c r="I41" s="39">
        <v>93.84615384615384</v>
      </c>
      <c r="J41" s="39">
        <v>93.84615384615384</v>
      </c>
      <c r="K41" s="39">
        <v>107.05</v>
      </c>
      <c r="L41" s="39">
        <v>107.05</v>
      </c>
      <c r="M41" s="38">
        <v>400</v>
      </c>
      <c r="N41" s="38">
        <v>400</v>
      </c>
      <c r="O41" s="38">
        <v>400</v>
      </c>
      <c r="P41" s="38">
        <v>400</v>
      </c>
      <c r="Q41" s="38">
        <v>120</v>
      </c>
      <c r="R41" s="38">
        <v>120</v>
      </c>
      <c r="S41" s="38">
        <v>120</v>
      </c>
      <c r="T41" s="38">
        <v>120</v>
      </c>
      <c r="U41" s="38">
        <v>120</v>
      </c>
      <c r="V41" s="38">
        <v>120</v>
      </c>
      <c r="W41" s="38">
        <v>120</v>
      </c>
      <c r="X41" s="38">
        <v>120</v>
      </c>
      <c r="Y41" s="38">
        <v>500</v>
      </c>
      <c r="Z41" s="38">
        <v>500</v>
      </c>
      <c r="AA41" s="38">
        <v>500</v>
      </c>
      <c r="AB41" s="38">
        <v>500</v>
      </c>
      <c r="AC41" s="38">
        <v>2</v>
      </c>
      <c r="AD41" s="38">
        <v>4</v>
      </c>
      <c r="AE41" s="38">
        <v>8</v>
      </c>
      <c r="AF41" s="38">
        <v>8</v>
      </c>
      <c r="AG41" s="38">
        <v>0</v>
      </c>
      <c r="AH41" s="38">
        <v>0</v>
      </c>
      <c r="AI41" s="38">
        <v>0</v>
      </c>
      <c r="AJ41" s="38">
        <v>0</v>
      </c>
    </row>
    <row r="42" spans="1:36">
      <c r="A42" t="s">
        <v>112</v>
      </c>
      <c r="B42" t="s">
        <v>305</v>
      </c>
      <c r="C42" s="2" t="s">
        <v>111</v>
      </c>
      <c r="D42" s="5" t="s">
        <v>35</v>
      </c>
      <c r="E42" s="38">
        <v>40000</v>
      </c>
      <c r="F42" s="38">
        <v>40000</v>
      </c>
      <c r="G42" s="38">
        <v>40000</v>
      </c>
      <c r="H42" s="38">
        <v>40000</v>
      </c>
      <c r="I42" s="39">
        <v>93.75</v>
      </c>
      <c r="J42" s="39">
        <v>93.75</v>
      </c>
      <c r="K42" s="39">
        <v>106.88</v>
      </c>
      <c r="L42" s="39">
        <v>106.88</v>
      </c>
      <c r="M42" s="38">
        <v>400</v>
      </c>
      <c r="N42" s="38">
        <v>400</v>
      </c>
      <c r="O42" s="38">
        <v>400</v>
      </c>
      <c r="P42" s="38">
        <v>400</v>
      </c>
      <c r="Q42" s="38">
        <v>120</v>
      </c>
      <c r="R42" s="38">
        <v>120</v>
      </c>
      <c r="S42" s="38">
        <v>120</v>
      </c>
      <c r="T42" s="38">
        <v>120</v>
      </c>
      <c r="U42" s="38">
        <v>120</v>
      </c>
      <c r="V42" s="38">
        <v>120</v>
      </c>
      <c r="W42" s="38">
        <v>120</v>
      </c>
      <c r="X42" s="38">
        <v>120</v>
      </c>
      <c r="Y42" s="38">
        <v>500</v>
      </c>
      <c r="Z42" s="38">
        <v>500</v>
      </c>
      <c r="AA42" s="38">
        <v>500</v>
      </c>
      <c r="AB42" s="38">
        <v>500</v>
      </c>
      <c r="AC42" s="38">
        <v>2</v>
      </c>
      <c r="AD42" s="38">
        <v>4</v>
      </c>
      <c r="AE42" s="38">
        <v>8</v>
      </c>
      <c r="AF42" s="38">
        <v>8</v>
      </c>
      <c r="AG42" s="38">
        <v>0</v>
      </c>
      <c r="AH42" s="38">
        <v>0</v>
      </c>
      <c r="AI42" s="38">
        <v>0</v>
      </c>
      <c r="AJ42" s="38">
        <v>0</v>
      </c>
    </row>
    <row r="43" spans="1:36">
      <c r="A43" t="s">
        <v>112</v>
      </c>
      <c r="B43" t="s">
        <v>305</v>
      </c>
      <c r="C43" s="2" t="s">
        <v>111</v>
      </c>
      <c r="D43" s="5" t="s">
        <v>35</v>
      </c>
      <c r="E43" s="38">
        <v>41000</v>
      </c>
      <c r="F43" s="38">
        <v>41000</v>
      </c>
      <c r="G43" s="38">
        <v>41000</v>
      </c>
      <c r="H43" s="38">
        <v>41000</v>
      </c>
      <c r="I43" s="39">
        <v>93.658536585365852</v>
      </c>
      <c r="J43" s="39">
        <v>93.658536585365852</v>
      </c>
      <c r="K43" s="39">
        <v>106.71</v>
      </c>
      <c r="L43" s="39">
        <v>106.71</v>
      </c>
      <c r="M43" s="38">
        <v>400</v>
      </c>
      <c r="N43" s="38">
        <v>400</v>
      </c>
      <c r="O43" s="38">
        <v>400</v>
      </c>
      <c r="P43" s="38">
        <v>400</v>
      </c>
      <c r="Q43" s="38">
        <v>120</v>
      </c>
      <c r="R43" s="38">
        <v>120</v>
      </c>
      <c r="S43" s="38">
        <v>120</v>
      </c>
      <c r="T43" s="38">
        <v>120</v>
      </c>
      <c r="U43" s="38">
        <v>120</v>
      </c>
      <c r="V43" s="38">
        <v>120</v>
      </c>
      <c r="W43" s="38">
        <v>120</v>
      </c>
      <c r="X43" s="38">
        <v>120</v>
      </c>
      <c r="Y43" s="38">
        <v>500</v>
      </c>
      <c r="Z43" s="38">
        <v>500</v>
      </c>
      <c r="AA43" s="38">
        <v>500</v>
      </c>
      <c r="AB43" s="38">
        <v>500</v>
      </c>
      <c r="AC43" s="38">
        <v>2</v>
      </c>
      <c r="AD43" s="38">
        <v>4</v>
      </c>
      <c r="AE43" s="38">
        <v>8</v>
      </c>
      <c r="AF43" s="38">
        <v>8</v>
      </c>
      <c r="AG43" s="38">
        <v>0</v>
      </c>
      <c r="AH43" s="38">
        <v>0</v>
      </c>
      <c r="AI43" s="38">
        <v>0</v>
      </c>
      <c r="AJ43" s="38">
        <v>0</v>
      </c>
    </row>
    <row r="44" spans="1:36">
      <c r="A44" t="s">
        <v>112</v>
      </c>
      <c r="B44" t="s">
        <v>305</v>
      </c>
      <c r="C44" s="2" t="s">
        <v>111</v>
      </c>
      <c r="D44" s="5" t="s">
        <v>35</v>
      </c>
      <c r="E44" s="38">
        <v>42000</v>
      </c>
      <c r="F44" s="38">
        <v>42000</v>
      </c>
      <c r="G44" s="38">
        <v>42000</v>
      </c>
      <c r="H44" s="38">
        <v>42000</v>
      </c>
      <c r="I44" s="39">
        <v>93.571428571428569</v>
      </c>
      <c r="J44" s="39">
        <v>93.571428571428569</v>
      </c>
      <c r="K44" s="39">
        <v>106.55</v>
      </c>
      <c r="L44" s="39">
        <v>106.55</v>
      </c>
      <c r="M44" s="38">
        <v>400</v>
      </c>
      <c r="N44" s="38">
        <v>400</v>
      </c>
      <c r="O44" s="38">
        <v>400</v>
      </c>
      <c r="P44" s="38">
        <v>400</v>
      </c>
      <c r="Q44" s="38">
        <v>120</v>
      </c>
      <c r="R44" s="38">
        <v>120</v>
      </c>
      <c r="S44" s="38">
        <v>120</v>
      </c>
      <c r="T44" s="38">
        <v>120</v>
      </c>
      <c r="U44" s="38">
        <v>120</v>
      </c>
      <c r="V44" s="38">
        <v>120</v>
      </c>
      <c r="W44" s="38">
        <v>120</v>
      </c>
      <c r="X44" s="38">
        <v>120</v>
      </c>
      <c r="Y44" s="38">
        <v>500</v>
      </c>
      <c r="Z44" s="38">
        <v>500</v>
      </c>
      <c r="AA44" s="38">
        <v>500</v>
      </c>
      <c r="AB44" s="38">
        <v>500</v>
      </c>
      <c r="AC44" s="38">
        <v>2</v>
      </c>
      <c r="AD44" s="38">
        <v>4</v>
      </c>
      <c r="AE44" s="38">
        <v>8</v>
      </c>
      <c r="AF44" s="38">
        <v>8</v>
      </c>
      <c r="AG44" s="38">
        <v>0</v>
      </c>
      <c r="AH44" s="38">
        <v>0</v>
      </c>
      <c r="AI44" s="38">
        <v>0</v>
      </c>
      <c r="AJ44" s="38">
        <v>0</v>
      </c>
    </row>
    <row r="45" spans="1:36">
      <c r="A45" t="s">
        <v>112</v>
      </c>
      <c r="B45" t="s">
        <v>305</v>
      </c>
      <c r="C45" s="2" t="s">
        <v>111</v>
      </c>
      <c r="D45" s="5" t="s">
        <v>35</v>
      </c>
      <c r="E45" s="38">
        <v>43000</v>
      </c>
      <c r="F45" s="38">
        <v>43000</v>
      </c>
      <c r="G45" s="38">
        <v>43000</v>
      </c>
      <c r="H45" s="38">
        <v>43000</v>
      </c>
      <c r="I45" s="39">
        <v>93.488372093023258</v>
      </c>
      <c r="J45" s="39">
        <v>93.488372093023258</v>
      </c>
      <c r="K45" s="39">
        <v>106.4</v>
      </c>
      <c r="L45" s="39">
        <v>106.4</v>
      </c>
      <c r="M45" s="38">
        <v>400</v>
      </c>
      <c r="N45" s="38">
        <v>400</v>
      </c>
      <c r="O45" s="38">
        <v>400</v>
      </c>
      <c r="P45" s="38">
        <v>400</v>
      </c>
      <c r="Q45" s="38">
        <v>120</v>
      </c>
      <c r="R45" s="38">
        <v>120</v>
      </c>
      <c r="S45" s="38">
        <v>120</v>
      </c>
      <c r="T45" s="38">
        <v>120</v>
      </c>
      <c r="U45" s="38">
        <v>120</v>
      </c>
      <c r="V45" s="38">
        <v>120</v>
      </c>
      <c r="W45" s="38">
        <v>120</v>
      </c>
      <c r="X45" s="38">
        <v>120</v>
      </c>
      <c r="Y45" s="38">
        <v>500</v>
      </c>
      <c r="Z45" s="38">
        <v>500</v>
      </c>
      <c r="AA45" s="38">
        <v>500</v>
      </c>
      <c r="AB45" s="38">
        <v>500</v>
      </c>
      <c r="AC45" s="38">
        <v>2</v>
      </c>
      <c r="AD45" s="38">
        <v>4</v>
      </c>
      <c r="AE45" s="38">
        <v>8</v>
      </c>
      <c r="AF45" s="38">
        <v>8</v>
      </c>
      <c r="AG45" s="38">
        <v>0</v>
      </c>
      <c r="AH45" s="38">
        <v>0</v>
      </c>
      <c r="AI45" s="38">
        <v>0</v>
      </c>
      <c r="AJ45" s="38">
        <v>0</v>
      </c>
    </row>
    <row r="46" spans="1:36">
      <c r="A46" t="s">
        <v>112</v>
      </c>
      <c r="B46" t="s">
        <v>305</v>
      </c>
      <c r="C46" s="2" t="s">
        <v>111</v>
      </c>
      <c r="D46" s="5" t="s">
        <v>35</v>
      </c>
      <c r="E46" s="40">
        <v>44000</v>
      </c>
      <c r="F46" s="40">
        <v>44000</v>
      </c>
      <c r="G46" s="40">
        <v>44000</v>
      </c>
      <c r="H46" s="40">
        <v>44000</v>
      </c>
      <c r="I46" s="41">
        <v>93.409090909090921</v>
      </c>
      <c r="J46" s="41">
        <v>93.409090909090921</v>
      </c>
      <c r="K46" s="41">
        <v>106.25</v>
      </c>
      <c r="L46" s="41">
        <v>106.25</v>
      </c>
      <c r="M46" s="38">
        <v>400</v>
      </c>
      <c r="N46" s="38">
        <v>400</v>
      </c>
      <c r="O46" s="38">
        <v>400</v>
      </c>
      <c r="P46" s="38">
        <v>400</v>
      </c>
      <c r="Q46" s="38">
        <v>120</v>
      </c>
      <c r="R46" s="38">
        <v>120</v>
      </c>
      <c r="S46" s="38">
        <v>120</v>
      </c>
      <c r="T46" s="38">
        <v>120</v>
      </c>
      <c r="U46" s="38">
        <v>120</v>
      </c>
      <c r="V46" s="38">
        <v>120</v>
      </c>
      <c r="W46" s="38">
        <v>120</v>
      </c>
      <c r="X46" s="38">
        <v>120</v>
      </c>
      <c r="Y46" s="38">
        <v>500</v>
      </c>
      <c r="Z46" s="38">
        <v>500</v>
      </c>
      <c r="AA46" s="38">
        <v>500</v>
      </c>
      <c r="AB46" s="38">
        <v>500</v>
      </c>
      <c r="AC46" s="38">
        <v>2</v>
      </c>
      <c r="AD46" s="38">
        <v>4</v>
      </c>
      <c r="AE46" s="38">
        <v>8</v>
      </c>
      <c r="AF46" s="38">
        <v>8</v>
      </c>
      <c r="AG46" s="38">
        <v>0</v>
      </c>
      <c r="AH46" s="38">
        <v>0</v>
      </c>
      <c r="AI46" s="38">
        <v>0</v>
      </c>
      <c r="AJ46" s="38">
        <v>0</v>
      </c>
    </row>
    <row r="47" spans="1:36">
      <c r="A47" t="s">
        <v>112</v>
      </c>
      <c r="B47" t="s">
        <v>305</v>
      </c>
      <c r="C47" s="2" t="s">
        <v>111</v>
      </c>
      <c r="D47" s="5" t="s">
        <v>35</v>
      </c>
      <c r="E47" s="40">
        <v>45000</v>
      </c>
      <c r="F47" s="40">
        <v>45000</v>
      </c>
      <c r="G47" s="40">
        <v>45000</v>
      </c>
      <c r="H47" s="40">
        <v>45000</v>
      </c>
      <c r="I47" s="41">
        <v>93.333333333333343</v>
      </c>
      <c r="J47" s="41">
        <v>93.333333333333343</v>
      </c>
      <c r="K47" s="41">
        <v>106.11</v>
      </c>
      <c r="L47" s="41">
        <v>106.11</v>
      </c>
      <c r="M47" s="38">
        <v>400</v>
      </c>
      <c r="N47" s="38">
        <v>400</v>
      </c>
      <c r="O47" s="38">
        <v>400</v>
      </c>
      <c r="P47" s="38">
        <v>400</v>
      </c>
      <c r="Q47" s="38">
        <v>120</v>
      </c>
      <c r="R47" s="38">
        <v>120</v>
      </c>
      <c r="S47" s="38">
        <v>120</v>
      </c>
      <c r="T47" s="38">
        <v>120</v>
      </c>
      <c r="U47" s="38">
        <v>120</v>
      </c>
      <c r="V47" s="38">
        <v>120</v>
      </c>
      <c r="W47" s="38">
        <v>120</v>
      </c>
      <c r="X47" s="38">
        <v>120</v>
      </c>
      <c r="Y47" s="38">
        <v>500</v>
      </c>
      <c r="Z47" s="38">
        <v>500</v>
      </c>
      <c r="AA47" s="38">
        <v>500</v>
      </c>
      <c r="AB47" s="38">
        <v>500</v>
      </c>
      <c r="AC47" s="38">
        <v>2</v>
      </c>
      <c r="AD47" s="38">
        <v>4</v>
      </c>
      <c r="AE47" s="38">
        <v>8</v>
      </c>
      <c r="AF47" s="38">
        <v>8</v>
      </c>
      <c r="AG47" s="38">
        <v>0</v>
      </c>
      <c r="AH47" s="38">
        <v>0</v>
      </c>
      <c r="AI47" s="38">
        <v>0</v>
      </c>
      <c r="AJ47" s="38">
        <v>0</v>
      </c>
    </row>
    <row r="48" spans="1:36">
      <c r="A48" t="s">
        <v>112</v>
      </c>
      <c r="B48" t="s">
        <v>305</v>
      </c>
      <c r="C48" s="2" t="s">
        <v>111</v>
      </c>
      <c r="D48" s="5" t="s">
        <v>35</v>
      </c>
      <c r="E48" s="40">
        <v>46000</v>
      </c>
      <c r="F48" s="40">
        <v>46000</v>
      </c>
      <c r="G48" s="40">
        <v>46000</v>
      </c>
      <c r="H48" s="40">
        <v>46000</v>
      </c>
      <c r="I48" s="41">
        <v>93.260869565217391</v>
      </c>
      <c r="J48" s="41">
        <v>93.260869565217391</v>
      </c>
      <c r="K48" s="41">
        <v>105.98</v>
      </c>
      <c r="L48" s="41">
        <v>105.98</v>
      </c>
      <c r="M48" s="38">
        <v>400</v>
      </c>
      <c r="N48" s="38">
        <v>400</v>
      </c>
      <c r="O48" s="38">
        <v>400</v>
      </c>
      <c r="P48" s="38">
        <v>400</v>
      </c>
      <c r="Q48" s="38">
        <v>120</v>
      </c>
      <c r="R48" s="38">
        <v>120</v>
      </c>
      <c r="S48" s="38">
        <v>120</v>
      </c>
      <c r="T48" s="38">
        <v>120</v>
      </c>
      <c r="U48" s="38">
        <v>120</v>
      </c>
      <c r="V48" s="38">
        <v>120</v>
      </c>
      <c r="W48" s="38">
        <v>120</v>
      </c>
      <c r="X48" s="38">
        <v>120</v>
      </c>
      <c r="Y48" s="38">
        <v>500</v>
      </c>
      <c r="Z48" s="38">
        <v>500</v>
      </c>
      <c r="AA48" s="38">
        <v>500</v>
      </c>
      <c r="AB48" s="38">
        <v>500</v>
      </c>
      <c r="AC48" s="38">
        <v>2</v>
      </c>
      <c r="AD48" s="38">
        <v>4</v>
      </c>
      <c r="AE48" s="38">
        <v>8</v>
      </c>
      <c r="AF48" s="38">
        <v>8</v>
      </c>
      <c r="AG48" s="38">
        <v>0</v>
      </c>
      <c r="AH48" s="38">
        <v>0</v>
      </c>
      <c r="AI48" s="38">
        <v>0</v>
      </c>
      <c r="AJ48" s="38">
        <v>0</v>
      </c>
    </row>
    <row r="49" spans="1:36">
      <c r="A49" t="s">
        <v>112</v>
      </c>
      <c r="B49" t="s">
        <v>305</v>
      </c>
      <c r="C49" s="2" t="s">
        <v>111</v>
      </c>
      <c r="D49" s="5" t="s">
        <v>35</v>
      </c>
      <c r="E49" s="40">
        <v>47000</v>
      </c>
      <c r="F49" s="40">
        <v>47000</v>
      </c>
      <c r="G49" s="40">
        <v>47000</v>
      </c>
      <c r="H49" s="40">
        <v>47000</v>
      </c>
      <c r="I49" s="41">
        <v>93.191489361702125</v>
      </c>
      <c r="J49" s="41">
        <v>93.191489361702125</v>
      </c>
      <c r="K49" s="41">
        <v>105.85</v>
      </c>
      <c r="L49" s="41">
        <v>105.85</v>
      </c>
      <c r="M49" s="38">
        <v>400</v>
      </c>
      <c r="N49" s="38">
        <v>400</v>
      </c>
      <c r="O49" s="38">
        <v>400</v>
      </c>
      <c r="P49" s="38">
        <v>400</v>
      </c>
      <c r="Q49" s="38">
        <v>120</v>
      </c>
      <c r="R49" s="38">
        <v>120</v>
      </c>
      <c r="S49" s="38">
        <v>120</v>
      </c>
      <c r="T49" s="38">
        <v>120</v>
      </c>
      <c r="U49" s="38">
        <v>120</v>
      </c>
      <c r="V49" s="38">
        <v>120</v>
      </c>
      <c r="W49" s="38">
        <v>120</v>
      </c>
      <c r="X49" s="38">
        <v>120</v>
      </c>
      <c r="Y49" s="38">
        <v>500</v>
      </c>
      <c r="Z49" s="38">
        <v>500</v>
      </c>
      <c r="AA49" s="38">
        <v>500</v>
      </c>
      <c r="AB49" s="38">
        <v>500</v>
      </c>
      <c r="AC49" s="38">
        <v>2</v>
      </c>
      <c r="AD49" s="38">
        <v>4</v>
      </c>
      <c r="AE49" s="38">
        <v>8</v>
      </c>
      <c r="AF49" s="38">
        <v>8</v>
      </c>
      <c r="AG49" s="38">
        <v>0</v>
      </c>
      <c r="AH49" s="38">
        <v>0</v>
      </c>
      <c r="AI49" s="38">
        <v>0</v>
      </c>
      <c r="AJ49" s="38">
        <v>0</v>
      </c>
    </row>
    <row r="50" spans="1:36">
      <c r="A50" t="s">
        <v>112</v>
      </c>
      <c r="B50" t="s">
        <v>305</v>
      </c>
      <c r="C50" s="2" t="s">
        <v>111</v>
      </c>
      <c r="D50" s="5" t="s">
        <v>35</v>
      </c>
      <c r="E50" s="40">
        <v>48000</v>
      </c>
      <c r="F50" s="40">
        <v>48000</v>
      </c>
      <c r="G50" s="40">
        <v>48000</v>
      </c>
      <c r="H50" s="40">
        <v>48000</v>
      </c>
      <c r="I50" s="41">
        <v>93.125</v>
      </c>
      <c r="J50" s="41">
        <v>93.125</v>
      </c>
      <c r="K50" s="41">
        <v>105.73</v>
      </c>
      <c r="L50" s="41">
        <v>105.73</v>
      </c>
      <c r="M50" s="38">
        <v>400</v>
      </c>
      <c r="N50" s="38">
        <v>400</v>
      </c>
      <c r="O50" s="38">
        <v>400</v>
      </c>
      <c r="P50" s="38">
        <v>400</v>
      </c>
      <c r="Q50" s="38">
        <v>120</v>
      </c>
      <c r="R50" s="38">
        <v>120</v>
      </c>
      <c r="S50" s="38">
        <v>120</v>
      </c>
      <c r="T50" s="38">
        <v>120</v>
      </c>
      <c r="U50" s="38">
        <v>120</v>
      </c>
      <c r="V50" s="38">
        <v>120</v>
      </c>
      <c r="W50" s="38">
        <v>120</v>
      </c>
      <c r="X50" s="38">
        <v>120</v>
      </c>
      <c r="Y50" s="38">
        <v>500</v>
      </c>
      <c r="Z50" s="38">
        <v>500</v>
      </c>
      <c r="AA50" s="38">
        <v>500</v>
      </c>
      <c r="AB50" s="38">
        <v>500</v>
      </c>
      <c r="AC50" s="38">
        <v>2</v>
      </c>
      <c r="AD50" s="38">
        <v>4</v>
      </c>
      <c r="AE50" s="38">
        <v>8</v>
      </c>
      <c r="AF50" s="38">
        <v>8</v>
      </c>
      <c r="AG50" s="38">
        <v>0</v>
      </c>
      <c r="AH50" s="38">
        <v>0</v>
      </c>
      <c r="AI50" s="38">
        <v>0</v>
      </c>
      <c r="AJ50" s="38">
        <v>0</v>
      </c>
    </row>
    <row r="51" spans="1:36">
      <c r="A51" t="s">
        <v>112</v>
      </c>
      <c r="B51" t="s">
        <v>305</v>
      </c>
      <c r="C51" s="2" t="s">
        <v>111</v>
      </c>
      <c r="D51" s="5" t="s">
        <v>35</v>
      </c>
      <c r="E51" s="40">
        <v>49000</v>
      </c>
      <c r="F51" s="40">
        <v>49000</v>
      </c>
      <c r="G51" s="40">
        <v>49000</v>
      </c>
      <c r="H51" s="40">
        <v>49000</v>
      </c>
      <c r="I51" s="41">
        <v>93.061224489795919</v>
      </c>
      <c r="J51" s="41">
        <v>93.061224489795919</v>
      </c>
      <c r="K51" s="41">
        <v>105.61</v>
      </c>
      <c r="L51" s="41">
        <v>105.61</v>
      </c>
      <c r="M51" s="38">
        <v>400</v>
      </c>
      <c r="N51" s="38">
        <v>400</v>
      </c>
      <c r="O51" s="38">
        <v>400</v>
      </c>
      <c r="P51" s="38">
        <v>400</v>
      </c>
      <c r="Q51" s="38">
        <v>120</v>
      </c>
      <c r="R51" s="38">
        <v>120</v>
      </c>
      <c r="S51" s="38">
        <v>120</v>
      </c>
      <c r="T51" s="38">
        <v>120</v>
      </c>
      <c r="U51" s="38">
        <v>120</v>
      </c>
      <c r="V51" s="38">
        <v>120</v>
      </c>
      <c r="W51" s="38">
        <v>120</v>
      </c>
      <c r="X51" s="38">
        <v>120</v>
      </c>
      <c r="Y51" s="38">
        <v>500</v>
      </c>
      <c r="Z51" s="38">
        <v>500</v>
      </c>
      <c r="AA51" s="38">
        <v>500</v>
      </c>
      <c r="AB51" s="38">
        <v>500</v>
      </c>
      <c r="AC51" s="38">
        <v>2</v>
      </c>
      <c r="AD51" s="38">
        <v>4</v>
      </c>
      <c r="AE51" s="38">
        <v>8</v>
      </c>
      <c r="AF51" s="38">
        <v>8</v>
      </c>
      <c r="AG51" s="38">
        <v>0</v>
      </c>
      <c r="AH51" s="38">
        <v>0</v>
      </c>
      <c r="AI51" s="38">
        <v>0</v>
      </c>
      <c r="AJ51" s="38">
        <v>0</v>
      </c>
    </row>
    <row r="52" spans="1:36">
      <c r="A52" t="s">
        <v>112</v>
      </c>
      <c r="B52" t="s">
        <v>305</v>
      </c>
      <c r="C52" s="2" t="s">
        <v>111</v>
      </c>
      <c r="D52" s="5" t="s">
        <v>35</v>
      </c>
      <c r="E52" s="40">
        <v>50000</v>
      </c>
      <c r="F52" s="40">
        <v>50000</v>
      </c>
      <c r="G52" s="40">
        <v>50000</v>
      </c>
      <c r="H52" s="40">
        <v>50000</v>
      </c>
      <c r="I52" s="41">
        <v>93</v>
      </c>
      <c r="J52" s="41">
        <v>93</v>
      </c>
      <c r="K52" s="41">
        <v>105.5</v>
      </c>
      <c r="L52" s="41">
        <v>105.5</v>
      </c>
      <c r="M52" s="38">
        <v>400</v>
      </c>
      <c r="N52" s="38">
        <v>400</v>
      </c>
      <c r="O52" s="38">
        <v>400</v>
      </c>
      <c r="P52" s="38">
        <v>400</v>
      </c>
      <c r="Q52" s="38">
        <v>120</v>
      </c>
      <c r="R52" s="38">
        <v>120</v>
      </c>
      <c r="S52" s="38">
        <v>120</v>
      </c>
      <c r="T52" s="38">
        <v>120</v>
      </c>
      <c r="U52" s="38">
        <v>120</v>
      </c>
      <c r="V52" s="38">
        <v>120</v>
      </c>
      <c r="W52" s="38">
        <v>120</v>
      </c>
      <c r="X52" s="38">
        <v>120</v>
      </c>
      <c r="Y52" s="38">
        <v>500</v>
      </c>
      <c r="Z52" s="38">
        <v>500</v>
      </c>
      <c r="AA52" s="38">
        <v>500</v>
      </c>
      <c r="AB52" s="38">
        <v>500</v>
      </c>
      <c r="AC52" s="38">
        <v>2</v>
      </c>
      <c r="AD52" s="38">
        <v>4</v>
      </c>
      <c r="AE52" s="38">
        <v>8</v>
      </c>
      <c r="AF52" s="38">
        <v>8</v>
      </c>
      <c r="AG52" s="38">
        <v>0</v>
      </c>
      <c r="AH52" s="38">
        <v>0</v>
      </c>
      <c r="AI52" s="38">
        <v>0</v>
      </c>
      <c r="AJ52" s="38">
        <v>0</v>
      </c>
    </row>
    <row r="53" spans="1:36">
      <c r="A53" t="s">
        <v>112</v>
      </c>
      <c r="B53" t="s">
        <v>305</v>
      </c>
      <c r="C53" s="2" t="s">
        <v>111</v>
      </c>
      <c r="D53" s="5" t="s">
        <v>35</v>
      </c>
      <c r="E53" s="40">
        <v>51000</v>
      </c>
      <c r="F53" s="40">
        <v>51000</v>
      </c>
      <c r="G53" s="40">
        <v>51000</v>
      </c>
      <c r="H53" s="40">
        <v>51000</v>
      </c>
      <c r="I53" s="41">
        <v>92.941176470588232</v>
      </c>
      <c r="J53" s="41">
        <v>92.941176470588232</v>
      </c>
      <c r="K53" s="41">
        <v>105.39</v>
      </c>
      <c r="L53" s="41">
        <v>105.39</v>
      </c>
      <c r="M53" s="38">
        <v>400</v>
      </c>
      <c r="N53" s="38">
        <v>400</v>
      </c>
      <c r="O53" s="38">
        <v>400</v>
      </c>
      <c r="P53" s="38">
        <v>400</v>
      </c>
      <c r="Q53" s="38">
        <v>120</v>
      </c>
      <c r="R53" s="38">
        <v>120</v>
      </c>
      <c r="S53" s="38">
        <v>120</v>
      </c>
      <c r="T53" s="38">
        <v>120</v>
      </c>
      <c r="U53" s="38">
        <v>120</v>
      </c>
      <c r="V53" s="38">
        <v>120</v>
      </c>
      <c r="W53" s="38">
        <v>120</v>
      </c>
      <c r="X53" s="38">
        <v>120</v>
      </c>
      <c r="Y53" s="38">
        <v>500</v>
      </c>
      <c r="Z53" s="38">
        <v>500</v>
      </c>
      <c r="AA53" s="38">
        <v>500</v>
      </c>
      <c r="AB53" s="38">
        <v>500</v>
      </c>
      <c r="AC53" s="38">
        <v>2</v>
      </c>
      <c r="AD53" s="38">
        <v>4</v>
      </c>
      <c r="AE53" s="38">
        <v>8</v>
      </c>
      <c r="AF53" s="38">
        <v>8</v>
      </c>
      <c r="AG53" s="38">
        <v>0</v>
      </c>
      <c r="AH53" s="38">
        <v>0</v>
      </c>
      <c r="AI53" s="38">
        <v>0</v>
      </c>
      <c r="AJ53" s="38">
        <v>0</v>
      </c>
    </row>
    <row r="54" spans="1:36">
      <c r="A54" t="s">
        <v>112</v>
      </c>
      <c r="B54" t="s">
        <v>305</v>
      </c>
      <c r="C54" s="2" t="s">
        <v>111</v>
      </c>
      <c r="D54" s="5" t="s">
        <v>35</v>
      </c>
      <c r="E54" s="40">
        <v>52000</v>
      </c>
      <c r="F54" s="40">
        <v>52000</v>
      </c>
      <c r="G54" s="40">
        <v>52000</v>
      </c>
      <c r="H54" s="40">
        <v>52000</v>
      </c>
      <c r="I54" s="41">
        <v>92.884615384615387</v>
      </c>
      <c r="J54" s="41">
        <v>92.884615384615387</v>
      </c>
      <c r="K54" s="41">
        <v>105.29</v>
      </c>
      <c r="L54" s="41">
        <v>105.29</v>
      </c>
      <c r="M54" s="38">
        <v>400</v>
      </c>
      <c r="N54" s="38">
        <v>400</v>
      </c>
      <c r="O54" s="38">
        <v>400</v>
      </c>
      <c r="P54" s="38">
        <v>400</v>
      </c>
      <c r="Q54" s="38">
        <v>120</v>
      </c>
      <c r="R54" s="38">
        <v>120</v>
      </c>
      <c r="S54" s="38">
        <v>120</v>
      </c>
      <c r="T54" s="38">
        <v>120</v>
      </c>
      <c r="U54" s="38">
        <v>120</v>
      </c>
      <c r="V54" s="38">
        <v>120</v>
      </c>
      <c r="W54" s="38">
        <v>120</v>
      </c>
      <c r="X54" s="38">
        <v>120</v>
      </c>
      <c r="Y54" s="38">
        <v>500</v>
      </c>
      <c r="Z54" s="38">
        <v>500</v>
      </c>
      <c r="AA54" s="38">
        <v>500</v>
      </c>
      <c r="AB54" s="38">
        <v>500</v>
      </c>
      <c r="AC54" s="38">
        <v>2</v>
      </c>
      <c r="AD54" s="38">
        <v>4</v>
      </c>
      <c r="AE54" s="38">
        <v>8</v>
      </c>
      <c r="AF54" s="38">
        <v>8</v>
      </c>
      <c r="AG54" s="38">
        <v>0</v>
      </c>
      <c r="AH54" s="38">
        <v>0</v>
      </c>
      <c r="AI54" s="38">
        <v>0</v>
      </c>
      <c r="AJ54" s="38">
        <v>0</v>
      </c>
    </row>
    <row r="55" spans="1:36">
      <c r="A55" t="s">
        <v>112</v>
      </c>
      <c r="B55" t="s">
        <v>305</v>
      </c>
      <c r="C55" s="2" t="s">
        <v>111</v>
      </c>
      <c r="D55" s="5" t="s">
        <v>35</v>
      </c>
      <c r="E55" s="40">
        <v>53000</v>
      </c>
      <c r="F55" s="40">
        <v>53000</v>
      </c>
      <c r="G55" s="40">
        <v>53000</v>
      </c>
      <c r="H55" s="40">
        <v>53000</v>
      </c>
      <c r="I55" s="41">
        <v>92.830188679245282</v>
      </c>
      <c r="J55" s="41">
        <v>92.830188679245282</v>
      </c>
      <c r="K55" s="41">
        <v>105.19</v>
      </c>
      <c r="L55" s="41">
        <v>105.19</v>
      </c>
      <c r="M55" s="38">
        <v>400</v>
      </c>
      <c r="N55" s="38">
        <v>400</v>
      </c>
      <c r="O55" s="38">
        <v>400</v>
      </c>
      <c r="P55" s="38">
        <v>400</v>
      </c>
      <c r="Q55" s="38">
        <v>120</v>
      </c>
      <c r="R55" s="38">
        <v>120</v>
      </c>
      <c r="S55" s="38">
        <v>120</v>
      </c>
      <c r="T55" s="38">
        <v>120</v>
      </c>
      <c r="U55" s="38">
        <v>120</v>
      </c>
      <c r="V55" s="38">
        <v>120</v>
      </c>
      <c r="W55" s="38">
        <v>120</v>
      </c>
      <c r="X55" s="38">
        <v>120</v>
      </c>
      <c r="Y55" s="38">
        <v>500</v>
      </c>
      <c r="Z55" s="38">
        <v>500</v>
      </c>
      <c r="AA55" s="38">
        <v>500</v>
      </c>
      <c r="AB55" s="38">
        <v>500</v>
      </c>
      <c r="AC55" s="38">
        <v>2</v>
      </c>
      <c r="AD55" s="38">
        <v>4</v>
      </c>
      <c r="AE55" s="38">
        <v>8</v>
      </c>
      <c r="AF55" s="38">
        <v>8</v>
      </c>
      <c r="AG55" s="38">
        <v>0</v>
      </c>
      <c r="AH55" s="38">
        <v>0</v>
      </c>
      <c r="AI55" s="38">
        <v>0</v>
      </c>
      <c r="AJ55" s="38">
        <v>0</v>
      </c>
    </row>
    <row r="56" spans="1:36">
      <c r="A56" t="s">
        <v>112</v>
      </c>
      <c r="B56" t="s">
        <v>305</v>
      </c>
      <c r="C56" s="2" t="s">
        <v>111</v>
      </c>
      <c r="D56" s="5" t="s">
        <v>35</v>
      </c>
      <c r="E56" s="40">
        <v>54000</v>
      </c>
      <c r="F56" s="40">
        <v>54000</v>
      </c>
      <c r="G56" s="40">
        <v>54000</v>
      </c>
      <c r="H56" s="40">
        <v>54000</v>
      </c>
      <c r="I56" s="41">
        <v>92.777777777777771</v>
      </c>
      <c r="J56" s="41">
        <v>92.777777777777771</v>
      </c>
      <c r="K56" s="41">
        <v>105.09</v>
      </c>
      <c r="L56" s="41">
        <v>105.09</v>
      </c>
      <c r="M56" s="38">
        <v>400</v>
      </c>
      <c r="N56" s="38">
        <v>400</v>
      </c>
      <c r="O56" s="38">
        <v>400</v>
      </c>
      <c r="P56" s="38">
        <v>400</v>
      </c>
      <c r="Q56" s="38">
        <v>120</v>
      </c>
      <c r="R56" s="38">
        <v>120</v>
      </c>
      <c r="S56" s="38">
        <v>120</v>
      </c>
      <c r="T56" s="38">
        <v>120</v>
      </c>
      <c r="U56" s="38">
        <v>120</v>
      </c>
      <c r="V56" s="38">
        <v>120</v>
      </c>
      <c r="W56" s="38">
        <v>120</v>
      </c>
      <c r="X56" s="38">
        <v>120</v>
      </c>
      <c r="Y56" s="38">
        <v>500</v>
      </c>
      <c r="Z56" s="38">
        <v>500</v>
      </c>
      <c r="AA56" s="38">
        <v>500</v>
      </c>
      <c r="AB56" s="38">
        <v>500</v>
      </c>
      <c r="AC56" s="38">
        <v>2</v>
      </c>
      <c r="AD56" s="38">
        <v>4</v>
      </c>
      <c r="AE56" s="38">
        <v>8</v>
      </c>
      <c r="AF56" s="38">
        <v>8</v>
      </c>
      <c r="AG56" s="38">
        <v>0</v>
      </c>
      <c r="AH56" s="38">
        <v>0</v>
      </c>
      <c r="AI56" s="38">
        <v>0</v>
      </c>
      <c r="AJ56" s="38">
        <v>0</v>
      </c>
    </row>
    <row r="57" spans="1:36">
      <c r="A57" t="s">
        <v>112</v>
      </c>
      <c r="B57" t="s">
        <v>305</v>
      </c>
      <c r="C57" s="2" t="s">
        <v>111</v>
      </c>
      <c r="D57" s="5" t="s">
        <v>35</v>
      </c>
      <c r="E57" s="40">
        <v>55000</v>
      </c>
      <c r="F57" s="40">
        <v>55000</v>
      </c>
      <c r="G57" s="40">
        <v>55000</v>
      </c>
      <c r="H57" s="40">
        <v>55000</v>
      </c>
      <c r="I57" s="41">
        <v>92.727272727272734</v>
      </c>
      <c r="J57" s="41">
        <v>92.727272727272734</v>
      </c>
      <c r="K57" s="41">
        <v>105</v>
      </c>
      <c r="L57" s="41">
        <v>105</v>
      </c>
      <c r="M57" s="38">
        <v>400</v>
      </c>
      <c r="N57" s="38">
        <v>400</v>
      </c>
      <c r="O57" s="38">
        <v>400</v>
      </c>
      <c r="P57" s="38">
        <v>400</v>
      </c>
      <c r="Q57" s="38">
        <v>120</v>
      </c>
      <c r="R57" s="38">
        <v>120</v>
      </c>
      <c r="S57" s="38">
        <v>120</v>
      </c>
      <c r="T57" s="38">
        <v>120</v>
      </c>
      <c r="U57" s="38">
        <v>120</v>
      </c>
      <c r="V57" s="38">
        <v>120</v>
      </c>
      <c r="W57" s="38">
        <v>120</v>
      </c>
      <c r="X57" s="38">
        <v>120</v>
      </c>
      <c r="Y57" s="38">
        <v>500</v>
      </c>
      <c r="Z57" s="38">
        <v>500</v>
      </c>
      <c r="AA57" s="38">
        <v>500</v>
      </c>
      <c r="AB57" s="38">
        <v>500</v>
      </c>
      <c r="AC57" s="38">
        <v>2</v>
      </c>
      <c r="AD57" s="38">
        <v>4</v>
      </c>
      <c r="AE57" s="38">
        <v>8</v>
      </c>
      <c r="AF57" s="38">
        <v>8</v>
      </c>
      <c r="AG57" s="38">
        <v>0</v>
      </c>
      <c r="AH57" s="38">
        <v>0</v>
      </c>
      <c r="AI57" s="38">
        <v>0</v>
      </c>
      <c r="AJ57" s="38">
        <v>0</v>
      </c>
    </row>
    <row r="58" spans="1:36">
      <c r="A58" t="s">
        <v>112</v>
      </c>
      <c r="B58" t="s">
        <v>305</v>
      </c>
      <c r="C58" s="2" t="s">
        <v>111</v>
      </c>
      <c r="D58" s="5" t="s">
        <v>35</v>
      </c>
      <c r="E58" s="40">
        <v>56000</v>
      </c>
      <c r="F58" s="40">
        <v>56000</v>
      </c>
      <c r="G58" s="40">
        <v>56000</v>
      </c>
      <c r="H58" s="40">
        <v>56000</v>
      </c>
      <c r="I58" s="41">
        <v>92.678571428571431</v>
      </c>
      <c r="J58" s="41">
        <v>92.678571428571431</v>
      </c>
      <c r="K58" s="41">
        <v>104.91</v>
      </c>
      <c r="L58" s="41">
        <v>104.91</v>
      </c>
      <c r="M58" s="38">
        <v>400</v>
      </c>
      <c r="N58" s="38">
        <v>400</v>
      </c>
      <c r="O58" s="38">
        <v>400</v>
      </c>
      <c r="P58" s="38">
        <v>400</v>
      </c>
      <c r="Q58" s="38">
        <v>120</v>
      </c>
      <c r="R58" s="38">
        <v>120</v>
      </c>
      <c r="S58" s="38">
        <v>120</v>
      </c>
      <c r="T58" s="38">
        <v>120</v>
      </c>
      <c r="U58" s="38">
        <v>120</v>
      </c>
      <c r="V58" s="38">
        <v>120</v>
      </c>
      <c r="W58" s="38">
        <v>120</v>
      </c>
      <c r="X58" s="38">
        <v>120</v>
      </c>
      <c r="Y58" s="38">
        <v>500</v>
      </c>
      <c r="Z58" s="38">
        <v>500</v>
      </c>
      <c r="AA58" s="38">
        <v>500</v>
      </c>
      <c r="AB58" s="38">
        <v>500</v>
      </c>
      <c r="AC58" s="38">
        <v>2</v>
      </c>
      <c r="AD58" s="38">
        <v>4</v>
      </c>
      <c r="AE58" s="38">
        <v>8</v>
      </c>
      <c r="AF58" s="38">
        <v>8</v>
      </c>
      <c r="AG58" s="38">
        <v>0</v>
      </c>
      <c r="AH58" s="38">
        <v>0</v>
      </c>
      <c r="AI58" s="38">
        <v>0</v>
      </c>
      <c r="AJ58" s="38">
        <v>0</v>
      </c>
    </row>
    <row r="59" spans="1:36">
      <c r="A59" t="s">
        <v>112</v>
      </c>
      <c r="B59" t="s">
        <v>305</v>
      </c>
      <c r="C59" s="2" t="s">
        <v>111</v>
      </c>
      <c r="D59" s="5" t="s">
        <v>35</v>
      </c>
      <c r="E59" s="40">
        <v>57000</v>
      </c>
      <c r="F59" s="40">
        <v>57000</v>
      </c>
      <c r="G59" s="40">
        <v>57000</v>
      </c>
      <c r="H59" s="40">
        <v>57000</v>
      </c>
      <c r="I59" s="41">
        <v>92.631578947368425</v>
      </c>
      <c r="J59" s="41">
        <v>92.631578947368425</v>
      </c>
      <c r="K59" s="41">
        <v>104.82</v>
      </c>
      <c r="L59" s="41">
        <v>104.82</v>
      </c>
      <c r="M59" s="38">
        <v>400</v>
      </c>
      <c r="N59" s="38">
        <v>400</v>
      </c>
      <c r="O59" s="38">
        <v>400</v>
      </c>
      <c r="P59" s="38">
        <v>400</v>
      </c>
      <c r="Q59" s="38">
        <v>120</v>
      </c>
      <c r="R59" s="38">
        <v>120</v>
      </c>
      <c r="S59" s="38">
        <v>120</v>
      </c>
      <c r="T59" s="38">
        <v>120</v>
      </c>
      <c r="U59" s="38">
        <v>120</v>
      </c>
      <c r="V59" s="38">
        <v>120</v>
      </c>
      <c r="W59" s="38">
        <v>120</v>
      </c>
      <c r="X59" s="38">
        <v>120</v>
      </c>
      <c r="Y59" s="38">
        <v>500</v>
      </c>
      <c r="Z59" s="38">
        <v>500</v>
      </c>
      <c r="AA59" s="38">
        <v>500</v>
      </c>
      <c r="AB59" s="38">
        <v>500</v>
      </c>
      <c r="AC59" s="38">
        <v>2</v>
      </c>
      <c r="AD59" s="38">
        <v>4</v>
      </c>
      <c r="AE59" s="38">
        <v>8</v>
      </c>
      <c r="AF59" s="38">
        <v>8</v>
      </c>
      <c r="AG59" s="38">
        <v>0</v>
      </c>
      <c r="AH59" s="38">
        <v>0</v>
      </c>
      <c r="AI59" s="38">
        <v>0</v>
      </c>
      <c r="AJ59" s="38">
        <v>0</v>
      </c>
    </row>
    <row r="60" spans="1:36">
      <c r="A60" t="s">
        <v>112</v>
      </c>
      <c r="B60" t="s">
        <v>305</v>
      </c>
      <c r="C60" s="2" t="s">
        <v>111</v>
      </c>
      <c r="D60" s="5" t="s">
        <v>35</v>
      </c>
      <c r="E60" s="40">
        <v>58000</v>
      </c>
      <c r="F60" s="40">
        <v>58000</v>
      </c>
      <c r="G60" s="40">
        <v>58000</v>
      </c>
      <c r="H60" s="40">
        <v>58000</v>
      </c>
      <c r="I60" s="41">
        <v>92.58620689655173</v>
      </c>
      <c r="J60" s="41">
        <v>92.58620689655173</v>
      </c>
      <c r="K60" s="41">
        <v>104.74</v>
      </c>
      <c r="L60" s="41">
        <v>104.74</v>
      </c>
      <c r="M60" s="38">
        <v>400</v>
      </c>
      <c r="N60" s="38">
        <v>400</v>
      </c>
      <c r="O60" s="38">
        <v>400</v>
      </c>
      <c r="P60" s="38">
        <v>400</v>
      </c>
      <c r="Q60" s="38">
        <v>120</v>
      </c>
      <c r="R60" s="38">
        <v>120</v>
      </c>
      <c r="S60" s="38">
        <v>120</v>
      </c>
      <c r="T60" s="38">
        <v>120</v>
      </c>
      <c r="U60" s="38">
        <v>120</v>
      </c>
      <c r="V60" s="38">
        <v>120</v>
      </c>
      <c r="W60" s="38">
        <v>120</v>
      </c>
      <c r="X60" s="38">
        <v>120</v>
      </c>
      <c r="Y60" s="38">
        <v>500</v>
      </c>
      <c r="Z60" s="38">
        <v>500</v>
      </c>
      <c r="AA60" s="38">
        <v>500</v>
      </c>
      <c r="AB60" s="38">
        <v>500</v>
      </c>
      <c r="AC60" s="38">
        <v>2</v>
      </c>
      <c r="AD60" s="38">
        <v>4</v>
      </c>
      <c r="AE60" s="38">
        <v>8</v>
      </c>
      <c r="AF60" s="38">
        <v>8</v>
      </c>
      <c r="AG60" s="38">
        <v>0</v>
      </c>
      <c r="AH60" s="38">
        <v>0</v>
      </c>
      <c r="AI60" s="38">
        <v>0</v>
      </c>
      <c r="AJ60" s="38">
        <v>0</v>
      </c>
    </row>
    <row r="61" spans="1:36">
      <c r="A61" t="s">
        <v>112</v>
      </c>
      <c r="B61" t="s">
        <v>305</v>
      </c>
      <c r="C61" s="2" t="s">
        <v>111</v>
      </c>
      <c r="D61" s="5" t="s">
        <v>35</v>
      </c>
      <c r="E61" s="40">
        <v>59000</v>
      </c>
      <c r="F61" s="40">
        <v>59000</v>
      </c>
      <c r="G61" s="40">
        <v>59000</v>
      </c>
      <c r="H61" s="40">
        <v>59000</v>
      </c>
      <c r="I61" s="41">
        <v>92.542372881355931</v>
      </c>
      <c r="J61" s="41">
        <v>92.542372881355931</v>
      </c>
      <c r="K61" s="41">
        <v>104.66</v>
      </c>
      <c r="L61" s="41">
        <v>104.66</v>
      </c>
      <c r="M61" s="38">
        <v>400</v>
      </c>
      <c r="N61" s="38">
        <v>400</v>
      </c>
      <c r="O61" s="38">
        <v>400</v>
      </c>
      <c r="P61" s="38">
        <v>400</v>
      </c>
      <c r="Q61" s="38">
        <v>120</v>
      </c>
      <c r="R61" s="38">
        <v>120</v>
      </c>
      <c r="S61" s="38">
        <v>120</v>
      </c>
      <c r="T61" s="38">
        <v>120</v>
      </c>
      <c r="U61" s="38">
        <v>120</v>
      </c>
      <c r="V61" s="38">
        <v>120</v>
      </c>
      <c r="W61" s="38">
        <v>120</v>
      </c>
      <c r="X61" s="38">
        <v>120</v>
      </c>
      <c r="Y61" s="38">
        <v>500</v>
      </c>
      <c r="Z61" s="38">
        <v>500</v>
      </c>
      <c r="AA61" s="38">
        <v>500</v>
      </c>
      <c r="AB61" s="38">
        <v>500</v>
      </c>
      <c r="AC61" s="38">
        <v>2</v>
      </c>
      <c r="AD61" s="38">
        <v>4</v>
      </c>
      <c r="AE61" s="38">
        <v>8</v>
      </c>
      <c r="AF61" s="38">
        <v>8</v>
      </c>
      <c r="AG61" s="38">
        <v>0</v>
      </c>
      <c r="AH61" s="38">
        <v>0</v>
      </c>
      <c r="AI61" s="38">
        <v>0</v>
      </c>
      <c r="AJ61" s="38">
        <v>0</v>
      </c>
    </row>
    <row r="62" spans="1:36">
      <c r="A62" t="s">
        <v>112</v>
      </c>
      <c r="B62" t="s">
        <v>305</v>
      </c>
      <c r="C62" s="2" t="s">
        <v>111</v>
      </c>
      <c r="D62" s="5" t="s">
        <v>35</v>
      </c>
      <c r="E62" s="40">
        <v>60000</v>
      </c>
      <c r="F62" s="40">
        <v>60000</v>
      </c>
      <c r="G62" s="40">
        <v>60000</v>
      </c>
      <c r="H62" s="40">
        <v>60000</v>
      </c>
      <c r="I62" s="41">
        <v>92.5</v>
      </c>
      <c r="J62" s="41">
        <v>92.5</v>
      </c>
      <c r="K62" s="41">
        <v>104.58</v>
      </c>
      <c r="L62" s="41">
        <v>104.58</v>
      </c>
      <c r="M62" s="38">
        <v>400</v>
      </c>
      <c r="N62" s="38">
        <v>400</v>
      </c>
      <c r="O62" s="38">
        <v>400</v>
      </c>
      <c r="P62" s="38">
        <v>400</v>
      </c>
      <c r="Q62" s="38">
        <v>120</v>
      </c>
      <c r="R62" s="38">
        <v>120</v>
      </c>
      <c r="S62" s="38">
        <v>120</v>
      </c>
      <c r="T62" s="38">
        <v>120</v>
      </c>
      <c r="U62" s="38">
        <v>120</v>
      </c>
      <c r="V62" s="38">
        <v>120</v>
      </c>
      <c r="W62" s="38">
        <v>120</v>
      </c>
      <c r="X62" s="38">
        <v>120</v>
      </c>
      <c r="Y62" s="38">
        <v>500</v>
      </c>
      <c r="Z62" s="38">
        <v>500</v>
      </c>
      <c r="AA62" s="38">
        <v>500</v>
      </c>
      <c r="AB62" s="38">
        <v>500</v>
      </c>
      <c r="AC62" s="38">
        <v>2</v>
      </c>
      <c r="AD62" s="38">
        <v>4</v>
      </c>
      <c r="AE62" s="38">
        <v>8</v>
      </c>
      <c r="AF62" s="38">
        <v>8</v>
      </c>
      <c r="AG62" s="38">
        <v>0</v>
      </c>
      <c r="AH62" s="38">
        <v>0</v>
      </c>
      <c r="AI62" s="38">
        <v>0</v>
      </c>
      <c r="AJ62" s="38">
        <v>0</v>
      </c>
    </row>
    <row r="63" spans="1:36">
      <c r="A63" t="s">
        <v>112</v>
      </c>
      <c r="B63" t="s">
        <v>305</v>
      </c>
      <c r="C63" s="2" t="s">
        <v>111</v>
      </c>
      <c r="D63" s="5" t="s">
        <v>35</v>
      </c>
      <c r="E63" s="40">
        <v>61000</v>
      </c>
      <c r="F63" s="40">
        <v>61000</v>
      </c>
      <c r="G63" s="40">
        <v>61000</v>
      </c>
      <c r="H63" s="40">
        <v>61000</v>
      </c>
      <c r="I63" s="41">
        <v>92.45901639344261</v>
      </c>
      <c r="J63" s="41">
        <v>92.45901639344261</v>
      </c>
      <c r="K63" s="41">
        <v>104.51</v>
      </c>
      <c r="L63" s="41">
        <v>104.51</v>
      </c>
      <c r="M63" s="38">
        <v>400</v>
      </c>
      <c r="N63" s="38">
        <v>400</v>
      </c>
      <c r="O63" s="38">
        <v>400</v>
      </c>
      <c r="P63" s="38">
        <v>400</v>
      </c>
      <c r="Q63" s="38">
        <v>120</v>
      </c>
      <c r="R63" s="38">
        <v>120</v>
      </c>
      <c r="S63" s="38">
        <v>120</v>
      </c>
      <c r="T63" s="38">
        <v>120</v>
      </c>
      <c r="U63" s="38">
        <v>120</v>
      </c>
      <c r="V63" s="38">
        <v>120</v>
      </c>
      <c r="W63" s="38">
        <v>120</v>
      </c>
      <c r="X63" s="38">
        <v>120</v>
      </c>
      <c r="Y63" s="38">
        <v>500</v>
      </c>
      <c r="Z63" s="38">
        <v>500</v>
      </c>
      <c r="AA63" s="38">
        <v>500</v>
      </c>
      <c r="AB63" s="38">
        <v>500</v>
      </c>
      <c r="AC63" s="38">
        <v>2</v>
      </c>
      <c r="AD63" s="38">
        <v>4</v>
      </c>
      <c r="AE63" s="38">
        <v>8</v>
      </c>
      <c r="AF63" s="38">
        <v>8</v>
      </c>
      <c r="AG63" s="38">
        <v>0</v>
      </c>
      <c r="AH63" s="38">
        <v>0</v>
      </c>
      <c r="AI63" s="38">
        <v>0</v>
      </c>
      <c r="AJ63" s="38">
        <v>0</v>
      </c>
    </row>
    <row r="64" spans="1:36">
      <c r="A64" t="s">
        <v>112</v>
      </c>
      <c r="B64" t="s">
        <v>305</v>
      </c>
      <c r="C64" s="2" t="s">
        <v>111</v>
      </c>
      <c r="D64" s="5" t="s">
        <v>35</v>
      </c>
      <c r="E64" s="40">
        <v>62000</v>
      </c>
      <c r="F64" s="40">
        <v>62000</v>
      </c>
      <c r="G64" s="40">
        <v>62000</v>
      </c>
      <c r="H64" s="40">
        <v>62000</v>
      </c>
      <c r="I64" s="41">
        <v>92.41935483870968</v>
      </c>
      <c r="J64" s="41">
        <v>92.41935483870968</v>
      </c>
      <c r="K64" s="41">
        <v>104.44</v>
      </c>
      <c r="L64" s="41">
        <v>104.44</v>
      </c>
      <c r="M64" s="38">
        <v>400</v>
      </c>
      <c r="N64" s="38">
        <v>400</v>
      </c>
      <c r="O64" s="38">
        <v>400</v>
      </c>
      <c r="P64" s="38">
        <v>400</v>
      </c>
      <c r="Q64" s="38">
        <v>120</v>
      </c>
      <c r="R64" s="38">
        <v>120</v>
      </c>
      <c r="S64" s="38">
        <v>120</v>
      </c>
      <c r="T64" s="38">
        <v>120</v>
      </c>
      <c r="U64" s="38">
        <v>120</v>
      </c>
      <c r="V64" s="38">
        <v>120</v>
      </c>
      <c r="W64" s="38">
        <v>120</v>
      </c>
      <c r="X64" s="38">
        <v>120</v>
      </c>
      <c r="Y64" s="38">
        <v>500</v>
      </c>
      <c r="Z64" s="38">
        <v>500</v>
      </c>
      <c r="AA64" s="38">
        <v>500</v>
      </c>
      <c r="AB64" s="38">
        <v>500</v>
      </c>
      <c r="AC64" s="38">
        <v>2</v>
      </c>
      <c r="AD64" s="38">
        <v>4</v>
      </c>
      <c r="AE64" s="38">
        <v>8</v>
      </c>
      <c r="AF64" s="38">
        <v>8</v>
      </c>
      <c r="AG64" s="38">
        <v>0</v>
      </c>
      <c r="AH64" s="38">
        <v>0</v>
      </c>
      <c r="AI64" s="38">
        <v>0</v>
      </c>
      <c r="AJ64" s="38">
        <v>0</v>
      </c>
    </row>
    <row r="65" spans="1:36">
      <c r="A65" t="s">
        <v>112</v>
      </c>
      <c r="B65" t="s">
        <v>305</v>
      </c>
      <c r="C65" s="2" t="s">
        <v>111</v>
      </c>
      <c r="D65" s="5" t="s">
        <v>35</v>
      </c>
      <c r="E65" s="40">
        <v>63000</v>
      </c>
      <c r="F65" s="40">
        <v>63000</v>
      </c>
      <c r="G65" s="40">
        <v>63000</v>
      </c>
      <c r="H65" s="40">
        <v>63000</v>
      </c>
      <c r="I65" s="41">
        <v>92.38095238095238</v>
      </c>
      <c r="J65" s="41">
        <v>92.38095238095238</v>
      </c>
      <c r="K65" s="41">
        <v>104.37</v>
      </c>
      <c r="L65" s="41">
        <v>104.37</v>
      </c>
      <c r="M65" s="38">
        <v>400</v>
      </c>
      <c r="N65" s="38">
        <v>400</v>
      </c>
      <c r="O65" s="38">
        <v>400</v>
      </c>
      <c r="P65" s="38">
        <v>400</v>
      </c>
      <c r="Q65" s="38">
        <v>120</v>
      </c>
      <c r="R65" s="38">
        <v>120</v>
      </c>
      <c r="S65" s="38">
        <v>120</v>
      </c>
      <c r="T65" s="38">
        <v>120</v>
      </c>
      <c r="U65" s="38">
        <v>120</v>
      </c>
      <c r="V65" s="38">
        <v>120</v>
      </c>
      <c r="W65" s="38">
        <v>120</v>
      </c>
      <c r="X65" s="38">
        <v>120</v>
      </c>
      <c r="Y65" s="38">
        <v>500</v>
      </c>
      <c r="Z65" s="38">
        <v>500</v>
      </c>
      <c r="AA65" s="38">
        <v>500</v>
      </c>
      <c r="AB65" s="38">
        <v>500</v>
      </c>
      <c r="AC65" s="38">
        <v>2</v>
      </c>
      <c r="AD65" s="38">
        <v>4</v>
      </c>
      <c r="AE65" s="38">
        <v>8</v>
      </c>
      <c r="AF65" s="38">
        <v>8</v>
      </c>
      <c r="AG65" s="38">
        <v>0</v>
      </c>
      <c r="AH65" s="38">
        <v>0</v>
      </c>
      <c r="AI65" s="38">
        <v>0</v>
      </c>
      <c r="AJ65" s="38">
        <v>0</v>
      </c>
    </row>
    <row r="66" spans="1:36">
      <c r="A66" t="s">
        <v>112</v>
      </c>
      <c r="B66" t="s">
        <v>305</v>
      </c>
      <c r="C66" s="2" t="s">
        <v>111</v>
      </c>
      <c r="D66" s="5" t="s">
        <v>35</v>
      </c>
      <c r="E66" s="40">
        <v>64000</v>
      </c>
      <c r="F66" s="40">
        <v>64000</v>
      </c>
      <c r="G66" s="40">
        <v>64000</v>
      </c>
      <c r="H66" s="40">
        <v>64000</v>
      </c>
      <c r="I66" s="41">
        <v>92.34375</v>
      </c>
      <c r="J66" s="41">
        <v>92.34375</v>
      </c>
      <c r="K66" s="41">
        <v>104.3</v>
      </c>
      <c r="L66" s="41">
        <v>104.3</v>
      </c>
      <c r="M66" s="38">
        <v>400</v>
      </c>
      <c r="N66" s="38">
        <v>400</v>
      </c>
      <c r="O66" s="38">
        <v>400</v>
      </c>
      <c r="P66" s="38">
        <v>400</v>
      </c>
      <c r="Q66" s="38">
        <v>120</v>
      </c>
      <c r="R66" s="38">
        <v>120</v>
      </c>
      <c r="S66" s="38">
        <v>120</v>
      </c>
      <c r="T66" s="38">
        <v>120</v>
      </c>
      <c r="U66" s="38">
        <v>120</v>
      </c>
      <c r="V66" s="38">
        <v>120</v>
      </c>
      <c r="W66" s="38">
        <v>120</v>
      </c>
      <c r="X66" s="38">
        <v>120</v>
      </c>
      <c r="Y66" s="38">
        <v>500</v>
      </c>
      <c r="Z66" s="38">
        <v>500</v>
      </c>
      <c r="AA66" s="38">
        <v>500</v>
      </c>
      <c r="AB66" s="38">
        <v>500</v>
      </c>
      <c r="AC66" s="38">
        <v>2</v>
      </c>
      <c r="AD66" s="38">
        <v>4</v>
      </c>
      <c r="AE66" s="38">
        <v>8</v>
      </c>
      <c r="AF66" s="38">
        <v>8</v>
      </c>
      <c r="AG66" s="38">
        <v>0</v>
      </c>
      <c r="AH66" s="38">
        <v>0</v>
      </c>
      <c r="AI66" s="38">
        <v>0</v>
      </c>
      <c r="AJ66" s="38">
        <v>0</v>
      </c>
    </row>
    <row r="67" spans="1:36">
      <c r="A67" t="s">
        <v>112</v>
      </c>
      <c r="B67" t="s">
        <v>305</v>
      </c>
      <c r="C67" s="2" t="s">
        <v>111</v>
      </c>
      <c r="D67" s="5" t="s">
        <v>35</v>
      </c>
      <c r="E67" s="40">
        <v>65000</v>
      </c>
      <c r="F67" s="40">
        <v>65000</v>
      </c>
      <c r="G67" s="40">
        <v>65000</v>
      </c>
      <c r="H67" s="40">
        <v>65000</v>
      </c>
      <c r="I67" s="41">
        <v>92.307692307692307</v>
      </c>
      <c r="J67" s="41">
        <v>92.307692307692307</v>
      </c>
      <c r="K67" s="41">
        <v>104.23</v>
      </c>
      <c r="L67" s="41">
        <v>104.23</v>
      </c>
      <c r="M67" s="38">
        <v>400</v>
      </c>
      <c r="N67" s="38">
        <v>400</v>
      </c>
      <c r="O67" s="38">
        <v>400</v>
      </c>
      <c r="P67" s="38">
        <v>400</v>
      </c>
      <c r="Q67" s="38">
        <v>120</v>
      </c>
      <c r="R67" s="38">
        <v>120</v>
      </c>
      <c r="S67" s="38">
        <v>120</v>
      </c>
      <c r="T67" s="38">
        <v>120</v>
      </c>
      <c r="U67" s="38">
        <v>120</v>
      </c>
      <c r="V67" s="38">
        <v>120</v>
      </c>
      <c r="W67" s="38">
        <v>120</v>
      </c>
      <c r="X67" s="38">
        <v>120</v>
      </c>
      <c r="Y67" s="38">
        <v>500</v>
      </c>
      <c r="Z67" s="38">
        <v>500</v>
      </c>
      <c r="AA67" s="38">
        <v>500</v>
      </c>
      <c r="AB67" s="38">
        <v>500</v>
      </c>
      <c r="AC67" s="38">
        <v>2</v>
      </c>
      <c r="AD67" s="38">
        <v>4</v>
      </c>
      <c r="AE67" s="38">
        <v>8</v>
      </c>
      <c r="AF67" s="38">
        <v>8</v>
      </c>
      <c r="AG67" s="38">
        <v>0</v>
      </c>
      <c r="AH67" s="38">
        <v>0</v>
      </c>
      <c r="AI67" s="38">
        <v>0</v>
      </c>
      <c r="AJ67" s="38">
        <v>0</v>
      </c>
    </row>
    <row r="68" spans="1:36">
      <c r="A68" t="s">
        <v>112</v>
      </c>
      <c r="B68" t="s">
        <v>305</v>
      </c>
      <c r="C68" s="2" t="s">
        <v>111</v>
      </c>
      <c r="D68" s="5" t="s">
        <v>35</v>
      </c>
      <c r="E68" s="40">
        <v>66000</v>
      </c>
      <c r="F68" s="40">
        <v>66000</v>
      </c>
      <c r="G68" s="40">
        <v>66000</v>
      </c>
      <c r="H68" s="40">
        <v>66000</v>
      </c>
      <c r="I68" s="41">
        <v>92.272727272727266</v>
      </c>
      <c r="J68" s="41">
        <v>92.272727272727266</v>
      </c>
      <c r="K68" s="41">
        <v>104.17</v>
      </c>
      <c r="L68" s="41">
        <v>104.17</v>
      </c>
      <c r="M68" s="38">
        <v>400</v>
      </c>
      <c r="N68" s="38">
        <v>400</v>
      </c>
      <c r="O68" s="38">
        <v>400</v>
      </c>
      <c r="P68" s="38">
        <v>400</v>
      </c>
      <c r="Q68" s="38">
        <v>120</v>
      </c>
      <c r="R68" s="38">
        <v>120</v>
      </c>
      <c r="S68" s="38">
        <v>120</v>
      </c>
      <c r="T68" s="38">
        <v>120</v>
      </c>
      <c r="U68" s="38">
        <v>120</v>
      </c>
      <c r="V68" s="38">
        <v>120</v>
      </c>
      <c r="W68" s="38">
        <v>120</v>
      </c>
      <c r="X68" s="38">
        <v>120</v>
      </c>
      <c r="Y68" s="38">
        <v>500</v>
      </c>
      <c r="Z68" s="38">
        <v>500</v>
      </c>
      <c r="AA68" s="38">
        <v>500</v>
      </c>
      <c r="AB68" s="38">
        <v>500</v>
      </c>
      <c r="AC68" s="38">
        <v>2</v>
      </c>
      <c r="AD68" s="38">
        <v>4</v>
      </c>
      <c r="AE68" s="38">
        <v>8</v>
      </c>
      <c r="AF68" s="38">
        <v>8</v>
      </c>
      <c r="AG68" s="38">
        <v>0</v>
      </c>
      <c r="AH68" s="38">
        <v>0</v>
      </c>
      <c r="AI68" s="38">
        <v>0</v>
      </c>
      <c r="AJ68" s="38">
        <v>0</v>
      </c>
    </row>
    <row r="69" spans="1:36">
      <c r="A69" t="s">
        <v>112</v>
      </c>
      <c r="B69" t="s">
        <v>305</v>
      </c>
      <c r="C69" s="2" t="s">
        <v>111</v>
      </c>
      <c r="D69" s="5" t="s">
        <v>35</v>
      </c>
      <c r="E69" s="40">
        <v>67000</v>
      </c>
      <c r="F69" s="40">
        <v>67000</v>
      </c>
      <c r="G69" s="40">
        <v>67000</v>
      </c>
      <c r="H69" s="40">
        <v>67000</v>
      </c>
      <c r="I69" s="41">
        <v>92.238805970149258</v>
      </c>
      <c r="J69" s="41">
        <v>92.238805970149258</v>
      </c>
      <c r="K69" s="41">
        <v>104.1</v>
      </c>
      <c r="L69" s="41">
        <v>104.1</v>
      </c>
      <c r="M69" s="38">
        <v>400</v>
      </c>
      <c r="N69" s="38">
        <v>400</v>
      </c>
      <c r="O69" s="38">
        <v>400</v>
      </c>
      <c r="P69" s="38">
        <v>400</v>
      </c>
      <c r="Q69" s="38">
        <v>120</v>
      </c>
      <c r="R69" s="38">
        <v>120</v>
      </c>
      <c r="S69" s="38">
        <v>120</v>
      </c>
      <c r="T69" s="38">
        <v>120</v>
      </c>
      <c r="U69" s="38">
        <v>120</v>
      </c>
      <c r="V69" s="38">
        <v>120</v>
      </c>
      <c r="W69" s="38">
        <v>120</v>
      </c>
      <c r="X69" s="38">
        <v>120</v>
      </c>
      <c r="Y69" s="38">
        <v>500</v>
      </c>
      <c r="Z69" s="38">
        <v>500</v>
      </c>
      <c r="AA69" s="38">
        <v>500</v>
      </c>
      <c r="AB69" s="38">
        <v>500</v>
      </c>
      <c r="AC69" s="38">
        <v>2</v>
      </c>
      <c r="AD69" s="38">
        <v>4</v>
      </c>
      <c r="AE69" s="38">
        <v>8</v>
      </c>
      <c r="AF69" s="38">
        <v>8</v>
      </c>
      <c r="AG69" s="38">
        <v>0</v>
      </c>
      <c r="AH69" s="38">
        <v>0</v>
      </c>
      <c r="AI69" s="38">
        <v>0</v>
      </c>
      <c r="AJ69" s="38">
        <v>0</v>
      </c>
    </row>
    <row r="70" spans="1:36">
      <c r="A70" t="s">
        <v>112</v>
      </c>
      <c r="B70" t="s">
        <v>305</v>
      </c>
      <c r="C70" s="2" t="s">
        <v>111</v>
      </c>
      <c r="D70" s="5" t="s">
        <v>35</v>
      </c>
      <c r="E70" s="40">
        <v>68000</v>
      </c>
      <c r="F70" s="40">
        <v>68000</v>
      </c>
      <c r="G70" s="40">
        <v>68000</v>
      </c>
      <c r="H70" s="40">
        <v>68000</v>
      </c>
      <c r="I70" s="41">
        <v>92.205882352941174</v>
      </c>
      <c r="J70" s="41">
        <v>92.205882352941174</v>
      </c>
      <c r="K70" s="41">
        <v>104.04</v>
      </c>
      <c r="L70" s="41">
        <v>104.04</v>
      </c>
      <c r="M70" s="38">
        <v>400</v>
      </c>
      <c r="N70" s="38">
        <v>400</v>
      </c>
      <c r="O70" s="38">
        <v>400</v>
      </c>
      <c r="P70" s="38">
        <v>400</v>
      </c>
      <c r="Q70" s="38">
        <v>120</v>
      </c>
      <c r="R70" s="38">
        <v>120</v>
      </c>
      <c r="S70" s="38">
        <v>120</v>
      </c>
      <c r="T70" s="38">
        <v>120</v>
      </c>
      <c r="U70" s="38">
        <v>120</v>
      </c>
      <c r="V70" s="38">
        <v>120</v>
      </c>
      <c r="W70" s="38">
        <v>120</v>
      </c>
      <c r="X70" s="38">
        <v>120</v>
      </c>
      <c r="Y70" s="38">
        <v>500</v>
      </c>
      <c r="Z70" s="38">
        <v>500</v>
      </c>
      <c r="AA70" s="38">
        <v>500</v>
      </c>
      <c r="AB70" s="38">
        <v>500</v>
      </c>
      <c r="AC70" s="38">
        <v>2</v>
      </c>
      <c r="AD70" s="38">
        <v>4</v>
      </c>
      <c r="AE70" s="38">
        <v>8</v>
      </c>
      <c r="AF70" s="38">
        <v>8</v>
      </c>
      <c r="AG70" s="38">
        <v>0</v>
      </c>
      <c r="AH70" s="38">
        <v>0</v>
      </c>
      <c r="AI70" s="38">
        <v>0</v>
      </c>
      <c r="AJ70" s="38">
        <v>0</v>
      </c>
    </row>
    <row r="71" spans="1:36">
      <c r="A71" t="s">
        <v>112</v>
      </c>
      <c r="B71" t="s">
        <v>305</v>
      </c>
      <c r="C71" s="2" t="s">
        <v>111</v>
      </c>
      <c r="D71" s="5" t="s">
        <v>35</v>
      </c>
      <c r="E71" s="40">
        <v>69000</v>
      </c>
      <c r="F71" s="40">
        <v>69000</v>
      </c>
      <c r="G71" s="40">
        <v>69000</v>
      </c>
      <c r="H71" s="40">
        <v>69000</v>
      </c>
      <c r="I71" s="41">
        <v>92.173913043478265</v>
      </c>
      <c r="J71" s="41">
        <v>92.173913043478265</v>
      </c>
      <c r="K71" s="41">
        <v>103.99</v>
      </c>
      <c r="L71" s="41">
        <v>103.99</v>
      </c>
      <c r="M71" s="38">
        <v>400</v>
      </c>
      <c r="N71" s="38">
        <v>400</v>
      </c>
      <c r="O71" s="38">
        <v>400</v>
      </c>
      <c r="P71" s="38">
        <v>400</v>
      </c>
      <c r="Q71" s="38">
        <v>120</v>
      </c>
      <c r="R71" s="38">
        <v>120</v>
      </c>
      <c r="S71" s="38">
        <v>120</v>
      </c>
      <c r="T71" s="38">
        <v>120</v>
      </c>
      <c r="U71" s="38">
        <v>120</v>
      </c>
      <c r="V71" s="38">
        <v>120</v>
      </c>
      <c r="W71" s="38">
        <v>120</v>
      </c>
      <c r="X71" s="38">
        <v>120</v>
      </c>
      <c r="Y71" s="38">
        <v>500</v>
      </c>
      <c r="Z71" s="38">
        <v>500</v>
      </c>
      <c r="AA71" s="38">
        <v>500</v>
      </c>
      <c r="AB71" s="38">
        <v>500</v>
      </c>
      <c r="AC71" s="38">
        <v>2</v>
      </c>
      <c r="AD71" s="38">
        <v>4</v>
      </c>
      <c r="AE71" s="38">
        <v>8</v>
      </c>
      <c r="AF71" s="38">
        <v>8</v>
      </c>
      <c r="AG71" s="38">
        <v>0</v>
      </c>
      <c r="AH71" s="38">
        <v>0</v>
      </c>
      <c r="AI71" s="38">
        <v>0</v>
      </c>
      <c r="AJ71" s="38">
        <v>0</v>
      </c>
    </row>
    <row r="72" spans="1:36">
      <c r="A72" t="s">
        <v>112</v>
      </c>
      <c r="B72" t="s">
        <v>305</v>
      </c>
      <c r="C72" s="2" t="s">
        <v>111</v>
      </c>
      <c r="D72" s="5" t="s">
        <v>35</v>
      </c>
      <c r="E72" s="40">
        <v>70000</v>
      </c>
      <c r="F72" s="40">
        <v>70000</v>
      </c>
      <c r="G72" s="40">
        <v>70000</v>
      </c>
      <c r="H72" s="40">
        <v>70000</v>
      </c>
      <c r="I72" s="41">
        <v>92.142857142857139</v>
      </c>
      <c r="J72" s="41">
        <v>92.142857142857139</v>
      </c>
      <c r="K72" s="41">
        <v>103.93</v>
      </c>
      <c r="L72" s="41">
        <v>103.93</v>
      </c>
      <c r="M72" s="38">
        <v>400</v>
      </c>
      <c r="N72" s="38">
        <v>400</v>
      </c>
      <c r="O72" s="38">
        <v>400</v>
      </c>
      <c r="P72" s="38">
        <v>400</v>
      </c>
      <c r="Q72" s="38">
        <v>120</v>
      </c>
      <c r="R72" s="38">
        <v>120</v>
      </c>
      <c r="S72" s="38">
        <v>120</v>
      </c>
      <c r="T72" s="38">
        <v>120</v>
      </c>
      <c r="U72" s="38">
        <v>120</v>
      </c>
      <c r="V72" s="38">
        <v>120</v>
      </c>
      <c r="W72" s="38">
        <v>120</v>
      </c>
      <c r="X72" s="38">
        <v>120</v>
      </c>
      <c r="Y72" s="38">
        <v>500</v>
      </c>
      <c r="Z72" s="38">
        <v>500</v>
      </c>
      <c r="AA72" s="38">
        <v>500</v>
      </c>
      <c r="AB72" s="38">
        <v>500</v>
      </c>
      <c r="AC72" s="38">
        <v>2</v>
      </c>
      <c r="AD72" s="38">
        <v>4</v>
      </c>
      <c r="AE72" s="38">
        <v>8</v>
      </c>
      <c r="AF72" s="38">
        <v>8</v>
      </c>
      <c r="AG72" s="38">
        <v>0</v>
      </c>
      <c r="AH72" s="38">
        <v>0</v>
      </c>
      <c r="AI72" s="38">
        <v>0</v>
      </c>
      <c r="AJ72" s="38">
        <v>0</v>
      </c>
    </row>
    <row r="73" spans="1:36">
      <c r="A73" t="s">
        <v>112</v>
      </c>
      <c r="B73" t="s">
        <v>305</v>
      </c>
      <c r="C73" s="2" t="s">
        <v>111</v>
      </c>
      <c r="D73" s="5" t="s">
        <v>35</v>
      </c>
      <c r="E73" s="40">
        <v>71000</v>
      </c>
      <c r="F73" s="40">
        <v>71000</v>
      </c>
      <c r="G73" s="40">
        <v>71000</v>
      </c>
      <c r="H73" s="40">
        <v>71000</v>
      </c>
      <c r="I73" s="41">
        <v>92.112676056338017</v>
      </c>
      <c r="J73" s="41">
        <v>92.112676056338017</v>
      </c>
      <c r="K73" s="41">
        <v>103.87</v>
      </c>
      <c r="L73" s="41">
        <v>103.87</v>
      </c>
      <c r="M73" s="38">
        <v>400</v>
      </c>
      <c r="N73" s="38">
        <v>400</v>
      </c>
      <c r="O73" s="38">
        <v>400</v>
      </c>
      <c r="P73" s="38">
        <v>400</v>
      </c>
      <c r="Q73" s="38">
        <v>120</v>
      </c>
      <c r="R73" s="38">
        <v>120</v>
      </c>
      <c r="S73" s="38">
        <v>120</v>
      </c>
      <c r="T73" s="38">
        <v>120</v>
      </c>
      <c r="U73" s="38">
        <v>120</v>
      </c>
      <c r="V73" s="38">
        <v>120</v>
      </c>
      <c r="W73" s="38">
        <v>120</v>
      </c>
      <c r="X73" s="38">
        <v>120</v>
      </c>
      <c r="Y73" s="38">
        <v>500</v>
      </c>
      <c r="Z73" s="38">
        <v>500</v>
      </c>
      <c r="AA73" s="38">
        <v>500</v>
      </c>
      <c r="AB73" s="38">
        <v>500</v>
      </c>
      <c r="AC73" s="38">
        <v>2</v>
      </c>
      <c r="AD73" s="38">
        <v>4</v>
      </c>
      <c r="AE73" s="38">
        <v>8</v>
      </c>
      <c r="AF73" s="38">
        <v>8</v>
      </c>
      <c r="AG73" s="38">
        <v>0</v>
      </c>
      <c r="AH73" s="38">
        <v>0</v>
      </c>
      <c r="AI73" s="38">
        <v>0</v>
      </c>
      <c r="AJ73" s="38">
        <v>0</v>
      </c>
    </row>
    <row r="74" spans="1:36">
      <c r="A74" t="s">
        <v>112</v>
      </c>
      <c r="B74" t="s">
        <v>305</v>
      </c>
      <c r="C74" s="2" t="s">
        <v>111</v>
      </c>
      <c r="D74" s="5" t="s">
        <v>35</v>
      </c>
      <c r="E74" s="40">
        <v>72000</v>
      </c>
      <c r="F74" s="40">
        <v>72000</v>
      </c>
      <c r="G74" s="40">
        <v>72000</v>
      </c>
      <c r="H74" s="40">
        <v>72000</v>
      </c>
      <c r="I74" s="41">
        <v>92.083333333333343</v>
      </c>
      <c r="J74" s="41">
        <v>92.083333333333343</v>
      </c>
      <c r="K74" s="41">
        <v>103.82</v>
      </c>
      <c r="L74" s="41">
        <v>103.82</v>
      </c>
      <c r="M74" s="38">
        <v>400</v>
      </c>
      <c r="N74" s="38">
        <v>400</v>
      </c>
      <c r="O74" s="38">
        <v>400</v>
      </c>
      <c r="P74" s="38">
        <v>400</v>
      </c>
      <c r="Q74" s="38">
        <v>120</v>
      </c>
      <c r="R74" s="38">
        <v>120</v>
      </c>
      <c r="S74" s="38">
        <v>120</v>
      </c>
      <c r="T74" s="38">
        <v>120</v>
      </c>
      <c r="U74" s="38">
        <v>120</v>
      </c>
      <c r="V74" s="38">
        <v>120</v>
      </c>
      <c r="W74" s="38">
        <v>120</v>
      </c>
      <c r="X74" s="38">
        <v>120</v>
      </c>
      <c r="Y74" s="38">
        <v>500</v>
      </c>
      <c r="Z74" s="38">
        <v>500</v>
      </c>
      <c r="AA74" s="38">
        <v>500</v>
      </c>
      <c r="AB74" s="38">
        <v>500</v>
      </c>
      <c r="AC74" s="38">
        <v>2</v>
      </c>
      <c r="AD74" s="38">
        <v>4</v>
      </c>
      <c r="AE74" s="38">
        <v>8</v>
      </c>
      <c r="AF74" s="38">
        <v>8</v>
      </c>
      <c r="AG74" s="38">
        <v>0</v>
      </c>
      <c r="AH74" s="38">
        <v>0</v>
      </c>
      <c r="AI74" s="38">
        <v>0</v>
      </c>
      <c r="AJ74" s="38">
        <v>0</v>
      </c>
    </row>
    <row r="75" spans="1:36">
      <c r="A75" t="s">
        <v>112</v>
      </c>
      <c r="B75" t="s">
        <v>305</v>
      </c>
      <c r="C75" s="2" t="s">
        <v>111</v>
      </c>
      <c r="D75" s="5" t="s">
        <v>35</v>
      </c>
      <c r="E75" s="40">
        <v>73000</v>
      </c>
      <c r="F75" s="40">
        <v>73000</v>
      </c>
      <c r="G75" s="40">
        <v>73000</v>
      </c>
      <c r="H75" s="40">
        <v>73000</v>
      </c>
      <c r="I75" s="41">
        <v>92.054794520547944</v>
      </c>
      <c r="J75" s="41">
        <v>92.054794520547944</v>
      </c>
      <c r="K75" s="41">
        <v>103.77</v>
      </c>
      <c r="L75" s="41">
        <v>103.77</v>
      </c>
      <c r="M75" s="38">
        <v>400</v>
      </c>
      <c r="N75" s="38">
        <v>400</v>
      </c>
      <c r="O75" s="38">
        <v>400</v>
      </c>
      <c r="P75" s="38">
        <v>400</v>
      </c>
      <c r="Q75" s="38">
        <v>120</v>
      </c>
      <c r="R75" s="38">
        <v>120</v>
      </c>
      <c r="S75" s="38">
        <v>120</v>
      </c>
      <c r="T75" s="38">
        <v>120</v>
      </c>
      <c r="U75" s="38">
        <v>120</v>
      </c>
      <c r="V75" s="38">
        <v>120</v>
      </c>
      <c r="W75" s="38">
        <v>120</v>
      </c>
      <c r="X75" s="38">
        <v>120</v>
      </c>
      <c r="Y75" s="38">
        <v>500</v>
      </c>
      <c r="Z75" s="38">
        <v>500</v>
      </c>
      <c r="AA75" s="38">
        <v>500</v>
      </c>
      <c r="AB75" s="38">
        <v>500</v>
      </c>
      <c r="AC75" s="38">
        <v>2</v>
      </c>
      <c r="AD75" s="38">
        <v>4</v>
      </c>
      <c r="AE75" s="38">
        <v>8</v>
      </c>
      <c r="AF75" s="38">
        <v>8</v>
      </c>
      <c r="AG75" s="38">
        <v>0</v>
      </c>
      <c r="AH75" s="38">
        <v>0</v>
      </c>
      <c r="AI75" s="38">
        <v>0</v>
      </c>
      <c r="AJ75" s="38">
        <v>0</v>
      </c>
    </row>
    <row r="76" spans="1:36">
      <c r="A76" t="s">
        <v>112</v>
      </c>
      <c r="B76" t="s">
        <v>305</v>
      </c>
      <c r="C76" s="2" t="s">
        <v>111</v>
      </c>
      <c r="D76" s="5" t="s">
        <v>35</v>
      </c>
      <c r="E76" s="40">
        <v>74000</v>
      </c>
      <c r="F76" s="40">
        <v>74000</v>
      </c>
      <c r="G76" s="40">
        <v>74000</v>
      </c>
      <c r="H76" s="40">
        <v>74000</v>
      </c>
      <c r="I76" s="41">
        <v>92.027027027027032</v>
      </c>
      <c r="J76" s="41">
        <v>92.027027027027032</v>
      </c>
      <c r="K76" s="41">
        <v>103.72</v>
      </c>
      <c r="L76" s="41">
        <v>103.72</v>
      </c>
      <c r="M76" s="38">
        <v>400</v>
      </c>
      <c r="N76" s="38">
        <v>400</v>
      </c>
      <c r="O76" s="38">
        <v>400</v>
      </c>
      <c r="P76" s="38">
        <v>400</v>
      </c>
      <c r="Q76" s="38">
        <v>120</v>
      </c>
      <c r="R76" s="38">
        <v>120</v>
      </c>
      <c r="S76" s="38">
        <v>120</v>
      </c>
      <c r="T76" s="38">
        <v>120</v>
      </c>
      <c r="U76" s="38">
        <v>120</v>
      </c>
      <c r="V76" s="38">
        <v>120</v>
      </c>
      <c r="W76" s="38">
        <v>120</v>
      </c>
      <c r="X76" s="38">
        <v>120</v>
      </c>
      <c r="Y76" s="38">
        <v>500</v>
      </c>
      <c r="Z76" s="38">
        <v>500</v>
      </c>
      <c r="AA76" s="38">
        <v>500</v>
      </c>
      <c r="AB76" s="38">
        <v>500</v>
      </c>
      <c r="AC76" s="38">
        <v>2</v>
      </c>
      <c r="AD76" s="38">
        <v>4</v>
      </c>
      <c r="AE76" s="38">
        <v>8</v>
      </c>
      <c r="AF76" s="38">
        <v>8</v>
      </c>
      <c r="AG76" s="38">
        <v>0</v>
      </c>
      <c r="AH76" s="38">
        <v>0</v>
      </c>
      <c r="AI76" s="38">
        <v>0</v>
      </c>
      <c r="AJ76" s="38">
        <v>0</v>
      </c>
    </row>
    <row r="77" spans="1:36">
      <c r="A77" t="s">
        <v>112</v>
      </c>
      <c r="B77" t="s">
        <v>305</v>
      </c>
      <c r="C77" s="2" t="s">
        <v>111</v>
      </c>
      <c r="D77" s="5" t="s">
        <v>35</v>
      </c>
      <c r="E77" s="40">
        <v>75000</v>
      </c>
      <c r="F77" s="40">
        <v>75000</v>
      </c>
      <c r="G77" s="40">
        <v>75000</v>
      </c>
      <c r="H77" s="40">
        <v>75000</v>
      </c>
      <c r="I77" s="41">
        <v>92</v>
      </c>
      <c r="J77" s="41">
        <v>92</v>
      </c>
      <c r="K77" s="41">
        <v>103.67</v>
      </c>
      <c r="L77" s="41">
        <v>103.67</v>
      </c>
      <c r="M77" s="38">
        <v>400</v>
      </c>
      <c r="N77" s="38">
        <v>400</v>
      </c>
      <c r="O77" s="38">
        <v>400</v>
      </c>
      <c r="P77" s="38">
        <v>400</v>
      </c>
      <c r="Q77" s="38">
        <v>120</v>
      </c>
      <c r="R77" s="38">
        <v>120</v>
      </c>
      <c r="S77" s="38">
        <v>120</v>
      </c>
      <c r="T77" s="38">
        <v>120</v>
      </c>
      <c r="U77" s="38">
        <v>120</v>
      </c>
      <c r="V77" s="38">
        <v>120</v>
      </c>
      <c r="W77" s="38">
        <v>120</v>
      </c>
      <c r="X77" s="38">
        <v>120</v>
      </c>
      <c r="Y77" s="38">
        <v>500</v>
      </c>
      <c r="Z77" s="38">
        <v>500</v>
      </c>
      <c r="AA77" s="38">
        <v>500</v>
      </c>
      <c r="AB77" s="38">
        <v>500</v>
      </c>
      <c r="AC77" s="38">
        <v>2</v>
      </c>
      <c r="AD77" s="38">
        <v>4</v>
      </c>
      <c r="AE77" s="38">
        <v>8</v>
      </c>
      <c r="AF77" s="38">
        <v>8</v>
      </c>
      <c r="AG77" s="38">
        <v>0</v>
      </c>
      <c r="AH77" s="38">
        <v>0</v>
      </c>
      <c r="AI77" s="38">
        <v>0</v>
      </c>
      <c r="AJ77" s="38">
        <v>0</v>
      </c>
    </row>
    <row r="78" spans="1:36">
      <c r="A78" t="s">
        <v>112</v>
      </c>
      <c r="B78" t="s">
        <v>305</v>
      </c>
      <c r="C78" s="2" t="s">
        <v>111</v>
      </c>
      <c r="D78" s="5" t="s">
        <v>35</v>
      </c>
      <c r="E78" s="40">
        <v>76000</v>
      </c>
      <c r="F78" s="40">
        <v>76000</v>
      </c>
      <c r="G78" s="40">
        <v>76000</v>
      </c>
      <c r="H78" s="40">
        <v>76000</v>
      </c>
      <c r="I78" s="41">
        <v>91.973684210526315</v>
      </c>
      <c r="J78" s="41">
        <v>91.973684210526315</v>
      </c>
      <c r="K78" s="41">
        <v>103.62</v>
      </c>
      <c r="L78" s="41">
        <v>103.62</v>
      </c>
      <c r="M78" s="38">
        <v>400</v>
      </c>
      <c r="N78" s="38">
        <v>400</v>
      </c>
      <c r="O78" s="38">
        <v>400</v>
      </c>
      <c r="P78" s="38">
        <v>400</v>
      </c>
      <c r="Q78" s="38">
        <v>120</v>
      </c>
      <c r="R78" s="38">
        <v>120</v>
      </c>
      <c r="S78" s="38">
        <v>120</v>
      </c>
      <c r="T78" s="38">
        <v>120</v>
      </c>
      <c r="U78" s="38">
        <v>120</v>
      </c>
      <c r="V78" s="38">
        <v>120</v>
      </c>
      <c r="W78" s="38">
        <v>120</v>
      </c>
      <c r="X78" s="38">
        <v>120</v>
      </c>
      <c r="Y78" s="38">
        <v>500</v>
      </c>
      <c r="Z78" s="38">
        <v>500</v>
      </c>
      <c r="AA78" s="38">
        <v>500</v>
      </c>
      <c r="AB78" s="38">
        <v>500</v>
      </c>
      <c r="AC78" s="38">
        <v>2</v>
      </c>
      <c r="AD78" s="38">
        <v>4</v>
      </c>
      <c r="AE78" s="38">
        <v>8</v>
      </c>
      <c r="AF78" s="38">
        <v>8</v>
      </c>
      <c r="AG78" s="38">
        <v>0</v>
      </c>
      <c r="AH78" s="38">
        <v>0</v>
      </c>
      <c r="AI78" s="38">
        <v>0</v>
      </c>
      <c r="AJ78" s="38">
        <v>0</v>
      </c>
    </row>
    <row r="79" spans="1:36">
      <c r="A79" t="s">
        <v>112</v>
      </c>
      <c r="B79" t="s">
        <v>305</v>
      </c>
      <c r="C79" s="2" t="s">
        <v>111</v>
      </c>
      <c r="D79" s="5" t="s">
        <v>35</v>
      </c>
      <c r="E79" s="40">
        <v>77000</v>
      </c>
      <c r="F79" s="40">
        <v>77000</v>
      </c>
      <c r="G79" s="40">
        <v>77000</v>
      </c>
      <c r="H79" s="40">
        <v>77000</v>
      </c>
      <c r="I79" s="41">
        <v>91.94805194805194</v>
      </c>
      <c r="J79" s="41">
        <v>91.94805194805194</v>
      </c>
      <c r="K79" s="41">
        <v>103.57</v>
      </c>
      <c r="L79" s="41">
        <v>103.57</v>
      </c>
      <c r="M79" s="38">
        <v>400</v>
      </c>
      <c r="N79" s="38">
        <v>400</v>
      </c>
      <c r="O79" s="38">
        <v>400</v>
      </c>
      <c r="P79" s="38">
        <v>400</v>
      </c>
      <c r="Q79" s="38">
        <v>120</v>
      </c>
      <c r="R79" s="38">
        <v>120</v>
      </c>
      <c r="S79" s="38">
        <v>120</v>
      </c>
      <c r="T79" s="38">
        <v>120</v>
      </c>
      <c r="U79" s="38">
        <v>120</v>
      </c>
      <c r="V79" s="38">
        <v>120</v>
      </c>
      <c r="W79" s="38">
        <v>120</v>
      </c>
      <c r="X79" s="38">
        <v>120</v>
      </c>
      <c r="Y79" s="38">
        <v>500</v>
      </c>
      <c r="Z79" s="38">
        <v>500</v>
      </c>
      <c r="AA79" s="38">
        <v>500</v>
      </c>
      <c r="AB79" s="38">
        <v>500</v>
      </c>
      <c r="AC79" s="38">
        <v>2</v>
      </c>
      <c r="AD79" s="38">
        <v>4</v>
      </c>
      <c r="AE79" s="38">
        <v>8</v>
      </c>
      <c r="AF79" s="38">
        <v>8</v>
      </c>
      <c r="AG79" s="38">
        <v>0</v>
      </c>
      <c r="AH79" s="38">
        <v>0</v>
      </c>
      <c r="AI79" s="38">
        <v>0</v>
      </c>
      <c r="AJ79" s="38">
        <v>0</v>
      </c>
    </row>
    <row r="80" spans="1:36">
      <c r="A80" t="s">
        <v>112</v>
      </c>
      <c r="B80" t="s">
        <v>305</v>
      </c>
      <c r="C80" s="2" t="s">
        <v>111</v>
      </c>
      <c r="D80" s="5" t="s">
        <v>35</v>
      </c>
      <c r="E80" s="40">
        <v>78000</v>
      </c>
      <c r="F80" s="40">
        <v>78000</v>
      </c>
      <c r="G80" s="40">
        <v>78000</v>
      </c>
      <c r="H80" s="40">
        <v>78000</v>
      </c>
      <c r="I80" s="41">
        <v>91.92307692307692</v>
      </c>
      <c r="J80" s="41">
        <v>91.92307692307692</v>
      </c>
      <c r="K80" s="41">
        <v>103.53</v>
      </c>
      <c r="L80" s="41">
        <v>103.53</v>
      </c>
      <c r="M80" s="38">
        <v>400</v>
      </c>
      <c r="N80" s="38">
        <v>400</v>
      </c>
      <c r="O80" s="38">
        <v>400</v>
      </c>
      <c r="P80" s="38">
        <v>400</v>
      </c>
      <c r="Q80" s="38">
        <v>120</v>
      </c>
      <c r="R80" s="38">
        <v>120</v>
      </c>
      <c r="S80" s="38">
        <v>120</v>
      </c>
      <c r="T80" s="38">
        <v>120</v>
      </c>
      <c r="U80" s="38">
        <v>120</v>
      </c>
      <c r="V80" s="38">
        <v>120</v>
      </c>
      <c r="W80" s="38">
        <v>120</v>
      </c>
      <c r="X80" s="38">
        <v>120</v>
      </c>
      <c r="Y80" s="38">
        <v>500</v>
      </c>
      <c r="Z80" s="38">
        <v>500</v>
      </c>
      <c r="AA80" s="38">
        <v>500</v>
      </c>
      <c r="AB80" s="38">
        <v>500</v>
      </c>
      <c r="AC80" s="38">
        <v>2</v>
      </c>
      <c r="AD80" s="38">
        <v>4</v>
      </c>
      <c r="AE80" s="38">
        <v>8</v>
      </c>
      <c r="AF80" s="38">
        <v>8</v>
      </c>
      <c r="AG80" s="38">
        <v>0</v>
      </c>
      <c r="AH80" s="38">
        <v>0</v>
      </c>
      <c r="AI80" s="38">
        <v>0</v>
      </c>
      <c r="AJ80" s="38">
        <v>0</v>
      </c>
    </row>
    <row r="81" spans="1:36">
      <c r="A81" t="s">
        <v>112</v>
      </c>
      <c r="B81" t="s">
        <v>305</v>
      </c>
      <c r="C81" s="2" t="s">
        <v>111</v>
      </c>
      <c r="D81" s="5" t="s">
        <v>35</v>
      </c>
      <c r="E81" s="40">
        <v>79000</v>
      </c>
      <c r="F81" s="40">
        <v>79000</v>
      </c>
      <c r="G81" s="40">
        <v>79000</v>
      </c>
      <c r="H81" s="40">
        <v>79000</v>
      </c>
      <c r="I81" s="41">
        <v>91.898734177215204</v>
      </c>
      <c r="J81" s="41">
        <v>91.898734177215204</v>
      </c>
      <c r="K81" s="41">
        <v>103.48</v>
      </c>
      <c r="L81" s="41">
        <v>103.48</v>
      </c>
      <c r="M81" s="38">
        <v>400</v>
      </c>
      <c r="N81" s="38">
        <v>400</v>
      </c>
      <c r="O81" s="38">
        <v>400</v>
      </c>
      <c r="P81" s="38">
        <v>400</v>
      </c>
      <c r="Q81" s="38">
        <v>120</v>
      </c>
      <c r="R81" s="38">
        <v>120</v>
      </c>
      <c r="S81" s="38">
        <v>120</v>
      </c>
      <c r="T81" s="38">
        <v>120</v>
      </c>
      <c r="U81" s="38">
        <v>120</v>
      </c>
      <c r="V81" s="38">
        <v>120</v>
      </c>
      <c r="W81" s="38">
        <v>120</v>
      </c>
      <c r="X81" s="38">
        <v>120</v>
      </c>
      <c r="Y81" s="38">
        <v>500</v>
      </c>
      <c r="Z81" s="38">
        <v>500</v>
      </c>
      <c r="AA81" s="38">
        <v>500</v>
      </c>
      <c r="AB81" s="38">
        <v>500</v>
      </c>
      <c r="AC81" s="38">
        <v>2</v>
      </c>
      <c r="AD81" s="38">
        <v>4</v>
      </c>
      <c r="AE81" s="38">
        <v>8</v>
      </c>
      <c r="AF81" s="38">
        <v>8</v>
      </c>
      <c r="AG81" s="38">
        <v>0</v>
      </c>
      <c r="AH81" s="38">
        <v>0</v>
      </c>
      <c r="AI81" s="38">
        <v>0</v>
      </c>
      <c r="AJ81" s="38">
        <v>0</v>
      </c>
    </row>
    <row r="82" spans="1:36">
      <c r="A82" t="s">
        <v>112</v>
      </c>
      <c r="B82" t="s">
        <v>305</v>
      </c>
      <c r="C82" s="2" t="s">
        <v>111</v>
      </c>
      <c r="D82" s="5" t="s">
        <v>35</v>
      </c>
      <c r="E82" s="40">
        <v>80000</v>
      </c>
      <c r="F82" s="40">
        <v>80000</v>
      </c>
      <c r="G82" s="40">
        <v>80000</v>
      </c>
      <c r="H82" s="40">
        <v>80000</v>
      </c>
      <c r="I82" s="41">
        <v>91.875</v>
      </c>
      <c r="J82" s="41">
        <v>91.875</v>
      </c>
      <c r="K82" s="41">
        <v>103.44</v>
      </c>
      <c r="L82" s="41">
        <v>103.44</v>
      </c>
      <c r="M82" s="38">
        <v>400</v>
      </c>
      <c r="N82" s="38">
        <v>400</v>
      </c>
      <c r="O82" s="38">
        <v>400</v>
      </c>
      <c r="P82" s="38">
        <v>400</v>
      </c>
      <c r="Q82" s="38">
        <v>120</v>
      </c>
      <c r="R82" s="38">
        <v>120</v>
      </c>
      <c r="S82" s="38">
        <v>120</v>
      </c>
      <c r="T82" s="38">
        <v>120</v>
      </c>
      <c r="U82" s="38">
        <v>120</v>
      </c>
      <c r="V82" s="38">
        <v>120</v>
      </c>
      <c r="W82" s="38">
        <v>120</v>
      </c>
      <c r="X82" s="38">
        <v>120</v>
      </c>
      <c r="Y82" s="38">
        <v>500</v>
      </c>
      <c r="Z82" s="38">
        <v>500</v>
      </c>
      <c r="AA82" s="38">
        <v>500</v>
      </c>
      <c r="AB82" s="38">
        <v>500</v>
      </c>
      <c r="AC82" s="38">
        <v>2</v>
      </c>
      <c r="AD82" s="38">
        <v>4</v>
      </c>
      <c r="AE82" s="38">
        <v>8</v>
      </c>
      <c r="AF82" s="38">
        <v>8</v>
      </c>
      <c r="AG82" s="38">
        <v>0</v>
      </c>
      <c r="AH82" s="38">
        <v>0</v>
      </c>
      <c r="AI82" s="38">
        <v>0</v>
      </c>
      <c r="AJ82" s="38">
        <v>0</v>
      </c>
    </row>
    <row r="83" spans="1:36">
      <c r="A83" t="s">
        <v>112</v>
      </c>
      <c r="B83" t="s">
        <v>305</v>
      </c>
      <c r="C83" s="2" t="s">
        <v>111</v>
      </c>
      <c r="D83" s="5" t="s">
        <v>35</v>
      </c>
      <c r="E83" s="40">
        <v>81000</v>
      </c>
      <c r="F83" s="40">
        <v>81000</v>
      </c>
      <c r="G83" s="40">
        <v>81000</v>
      </c>
      <c r="H83" s="40">
        <v>81000</v>
      </c>
      <c r="I83" s="41">
        <v>91.851851851851848</v>
      </c>
      <c r="J83" s="41">
        <v>91.851851851851848</v>
      </c>
      <c r="K83" s="41">
        <v>103.4</v>
      </c>
      <c r="L83" s="41">
        <v>103.4</v>
      </c>
      <c r="M83" s="38">
        <v>400</v>
      </c>
      <c r="N83" s="38">
        <v>400</v>
      </c>
      <c r="O83" s="38">
        <v>400</v>
      </c>
      <c r="P83" s="38">
        <v>400</v>
      </c>
      <c r="Q83" s="38">
        <v>120</v>
      </c>
      <c r="R83" s="38">
        <v>120</v>
      </c>
      <c r="S83" s="38">
        <v>120</v>
      </c>
      <c r="T83" s="38">
        <v>120</v>
      </c>
      <c r="U83" s="38">
        <v>120</v>
      </c>
      <c r="V83" s="38">
        <v>120</v>
      </c>
      <c r="W83" s="38">
        <v>120</v>
      </c>
      <c r="X83" s="38">
        <v>120</v>
      </c>
      <c r="Y83" s="38">
        <v>500</v>
      </c>
      <c r="Z83" s="38">
        <v>500</v>
      </c>
      <c r="AA83" s="38">
        <v>500</v>
      </c>
      <c r="AB83" s="38">
        <v>500</v>
      </c>
      <c r="AC83" s="38">
        <v>2</v>
      </c>
      <c r="AD83" s="38">
        <v>4</v>
      </c>
      <c r="AE83" s="38">
        <v>8</v>
      </c>
      <c r="AF83" s="38">
        <v>8</v>
      </c>
      <c r="AG83" s="38">
        <v>0</v>
      </c>
      <c r="AH83" s="38">
        <v>0</v>
      </c>
      <c r="AI83" s="38">
        <v>0</v>
      </c>
      <c r="AJ83" s="38">
        <v>0</v>
      </c>
    </row>
    <row r="84" spans="1:36">
      <c r="A84" t="s">
        <v>112</v>
      </c>
      <c r="B84" t="s">
        <v>305</v>
      </c>
      <c r="C84" s="2" t="s">
        <v>111</v>
      </c>
      <c r="D84" s="5" t="s">
        <v>35</v>
      </c>
      <c r="E84" s="40">
        <v>82000</v>
      </c>
      <c r="F84" s="40">
        <v>82000</v>
      </c>
      <c r="G84" s="40">
        <v>82000</v>
      </c>
      <c r="H84" s="40">
        <v>82000</v>
      </c>
      <c r="I84" s="41">
        <v>91.829268292682926</v>
      </c>
      <c r="J84" s="41">
        <v>91.829268292682926</v>
      </c>
      <c r="K84" s="41">
        <v>103.35</v>
      </c>
      <c r="L84" s="41">
        <v>103.35</v>
      </c>
      <c r="M84" s="38">
        <v>400</v>
      </c>
      <c r="N84" s="38">
        <v>400</v>
      </c>
      <c r="O84" s="38">
        <v>400</v>
      </c>
      <c r="P84" s="38">
        <v>400</v>
      </c>
      <c r="Q84" s="38">
        <v>120</v>
      </c>
      <c r="R84" s="38">
        <v>120</v>
      </c>
      <c r="S84" s="38">
        <v>120</v>
      </c>
      <c r="T84" s="38">
        <v>120</v>
      </c>
      <c r="U84" s="38">
        <v>120</v>
      </c>
      <c r="V84" s="38">
        <v>120</v>
      </c>
      <c r="W84" s="38">
        <v>120</v>
      </c>
      <c r="X84" s="38">
        <v>120</v>
      </c>
      <c r="Y84" s="38">
        <v>500</v>
      </c>
      <c r="Z84" s="38">
        <v>500</v>
      </c>
      <c r="AA84" s="38">
        <v>500</v>
      </c>
      <c r="AB84" s="38">
        <v>500</v>
      </c>
      <c r="AC84" s="38">
        <v>2</v>
      </c>
      <c r="AD84" s="38">
        <v>4</v>
      </c>
      <c r="AE84" s="38">
        <v>8</v>
      </c>
      <c r="AF84" s="38">
        <v>8</v>
      </c>
      <c r="AG84" s="38">
        <v>0</v>
      </c>
      <c r="AH84" s="38">
        <v>0</v>
      </c>
      <c r="AI84" s="38">
        <v>0</v>
      </c>
      <c r="AJ84" s="38">
        <v>0</v>
      </c>
    </row>
    <row r="85" spans="1:36">
      <c r="A85" t="s">
        <v>112</v>
      </c>
      <c r="B85" t="s">
        <v>305</v>
      </c>
      <c r="C85" s="2" t="s">
        <v>111</v>
      </c>
      <c r="D85" s="5" t="s">
        <v>35</v>
      </c>
      <c r="E85" s="40">
        <v>83000</v>
      </c>
      <c r="F85" s="40">
        <v>83000</v>
      </c>
      <c r="G85" s="40">
        <v>83000</v>
      </c>
      <c r="H85" s="40">
        <v>83000</v>
      </c>
      <c r="I85" s="41">
        <v>91.807228915662648</v>
      </c>
      <c r="J85" s="41">
        <v>91.807228915662648</v>
      </c>
      <c r="K85" s="41">
        <v>103.31</v>
      </c>
      <c r="L85" s="41">
        <v>103.31</v>
      </c>
      <c r="M85" s="38">
        <v>400</v>
      </c>
      <c r="N85" s="38">
        <v>400</v>
      </c>
      <c r="O85" s="38">
        <v>400</v>
      </c>
      <c r="P85" s="38">
        <v>400</v>
      </c>
      <c r="Q85" s="38">
        <v>120</v>
      </c>
      <c r="R85" s="38">
        <v>120</v>
      </c>
      <c r="S85" s="38">
        <v>120</v>
      </c>
      <c r="T85" s="38">
        <v>120</v>
      </c>
      <c r="U85" s="38">
        <v>120</v>
      </c>
      <c r="V85" s="38">
        <v>120</v>
      </c>
      <c r="W85" s="38">
        <v>120</v>
      </c>
      <c r="X85" s="38">
        <v>120</v>
      </c>
      <c r="Y85" s="38">
        <v>500</v>
      </c>
      <c r="Z85" s="38">
        <v>500</v>
      </c>
      <c r="AA85" s="38">
        <v>500</v>
      </c>
      <c r="AB85" s="38">
        <v>500</v>
      </c>
      <c r="AC85" s="38">
        <v>2</v>
      </c>
      <c r="AD85" s="38">
        <v>4</v>
      </c>
      <c r="AE85" s="38">
        <v>8</v>
      </c>
      <c r="AF85" s="38">
        <v>8</v>
      </c>
      <c r="AG85" s="38">
        <v>0</v>
      </c>
      <c r="AH85" s="38">
        <v>0</v>
      </c>
      <c r="AI85" s="38">
        <v>0</v>
      </c>
      <c r="AJ85" s="38">
        <v>0</v>
      </c>
    </row>
    <row r="86" spans="1:36">
      <c r="A86" t="s">
        <v>112</v>
      </c>
      <c r="B86" t="s">
        <v>305</v>
      </c>
      <c r="C86" s="2" t="s">
        <v>111</v>
      </c>
      <c r="D86" s="5" t="s">
        <v>35</v>
      </c>
      <c r="E86" s="40">
        <v>84000</v>
      </c>
      <c r="F86" s="40">
        <v>84000</v>
      </c>
      <c r="G86" s="40">
        <v>84000</v>
      </c>
      <c r="H86" s="40">
        <v>84000</v>
      </c>
      <c r="I86" s="41">
        <v>91.785714285714292</v>
      </c>
      <c r="J86" s="41">
        <v>91.785714285714292</v>
      </c>
      <c r="K86" s="41">
        <v>103.27</v>
      </c>
      <c r="L86" s="41">
        <v>103.27</v>
      </c>
      <c r="M86" s="38">
        <v>400</v>
      </c>
      <c r="N86" s="38">
        <v>400</v>
      </c>
      <c r="O86" s="38">
        <v>400</v>
      </c>
      <c r="P86" s="38">
        <v>400</v>
      </c>
      <c r="Q86" s="38">
        <v>120</v>
      </c>
      <c r="R86" s="38">
        <v>120</v>
      </c>
      <c r="S86" s="38">
        <v>120</v>
      </c>
      <c r="T86" s="38">
        <v>120</v>
      </c>
      <c r="U86" s="38">
        <v>120</v>
      </c>
      <c r="V86" s="38">
        <v>120</v>
      </c>
      <c r="W86" s="38">
        <v>120</v>
      </c>
      <c r="X86" s="38">
        <v>120</v>
      </c>
      <c r="Y86" s="38">
        <v>500</v>
      </c>
      <c r="Z86" s="38">
        <v>500</v>
      </c>
      <c r="AA86" s="38">
        <v>500</v>
      </c>
      <c r="AB86" s="38">
        <v>500</v>
      </c>
      <c r="AC86" s="38">
        <v>2</v>
      </c>
      <c r="AD86" s="38">
        <v>4</v>
      </c>
      <c r="AE86" s="38">
        <v>8</v>
      </c>
      <c r="AF86" s="38">
        <v>8</v>
      </c>
      <c r="AG86" s="38">
        <v>0</v>
      </c>
      <c r="AH86" s="38">
        <v>0</v>
      </c>
      <c r="AI86" s="38">
        <v>0</v>
      </c>
      <c r="AJ86" s="38">
        <v>0</v>
      </c>
    </row>
    <row r="87" spans="1:36">
      <c r="A87" t="s">
        <v>112</v>
      </c>
      <c r="B87" t="s">
        <v>305</v>
      </c>
      <c r="C87" s="2" t="s">
        <v>111</v>
      </c>
      <c r="D87" s="5" t="s">
        <v>35</v>
      </c>
      <c r="E87" s="40">
        <v>85000</v>
      </c>
      <c r="F87" s="40">
        <v>85000</v>
      </c>
      <c r="G87" s="40">
        <v>85000</v>
      </c>
      <c r="H87" s="40">
        <v>85000</v>
      </c>
      <c r="I87" s="41">
        <v>91.764705882352942</v>
      </c>
      <c r="J87" s="41">
        <v>91.764705882352942</v>
      </c>
      <c r="K87" s="41">
        <v>103.24</v>
      </c>
      <c r="L87" s="41">
        <v>103.24</v>
      </c>
      <c r="M87" s="38">
        <v>400</v>
      </c>
      <c r="N87" s="38">
        <v>400</v>
      </c>
      <c r="O87" s="38">
        <v>400</v>
      </c>
      <c r="P87" s="38">
        <v>400</v>
      </c>
      <c r="Q87" s="38">
        <v>120</v>
      </c>
      <c r="R87" s="38">
        <v>120</v>
      </c>
      <c r="S87" s="38">
        <v>120</v>
      </c>
      <c r="T87" s="38">
        <v>120</v>
      </c>
      <c r="U87" s="38">
        <v>120</v>
      </c>
      <c r="V87" s="38">
        <v>120</v>
      </c>
      <c r="W87" s="38">
        <v>120</v>
      </c>
      <c r="X87" s="38">
        <v>120</v>
      </c>
      <c r="Y87" s="38">
        <v>500</v>
      </c>
      <c r="Z87" s="38">
        <v>500</v>
      </c>
      <c r="AA87" s="38">
        <v>500</v>
      </c>
      <c r="AB87" s="38">
        <v>500</v>
      </c>
      <c r="AC87" s="38">
        <v>2</v>
      </c>
      <c r="AD87" s="38">
        <v>4</v>
      </c>
      <c r="AE87" s="38">
        <v>8</v>
      </c>
      <c r="AF87" s="38">
        <v>8</v>
      </c>
      <c r="AG87" s="38">
        <v>0</v>
      </c>
      <c r="AH87" s="38">
        <v>0</v>
      </c>
      <c r="AI87" s="38">
        <v>0</v>
      </c>
      <c r="AJ87" s="38">
        <v>0</v>
      </c>
    </row>
    <row r="88" spans="1:36">
      <c r="A88" t="s">
        <v>112</v>
      </c>
      <c r="B88" t="s">
        <v>305</v>
      </c>
      <c r="C88" s="2" t="s">
        <v>111</v>
      </c>
      <c r="D88" s="5" t="s">
        <v>35</v>
      </c>
      <c r="E88" s="40">
        <v>86000</v>
      </c>
      <c r="F88" s="40">
        <v>86000</v>
      </c>
      <c r="G88" s="40">
        <v>86000</v>
      </c>
      <c r="H88" s="40">
        <v>86000</v>
      </c>
      <c r="I88" s="41">
        <v>91.744186046511629</v>
      </c>
      <c r="J88" s="41">
        <v>91.744186046511629</v>
      </c>
      <c r="K88" s="41">
        <v>103.2</v>
      </c>
      <c r="L88" s="41">
        <v>103.2</v>
      </c>
      <c r="M88" s="38">
        <v>400</v>
      </c>
      <c r="N88" s="38">
        <v>400</v>
      </c>
      <c r="O88" s="38">
        <v>400</v>
      </c>
      <c r="P88" s="38">
        <v>400</v>
      </c>
      <c r="Q88" s="38">
        <v>120</v>
      </c>
      <c r="R88" s="38">
        <v>120</v>
      </c>
      <c r="S88" s="38">
        <v>120</v>
      </c>
      <c r="T88" s="38">
        <v>120</v>
      </c>
      <c r="U88" s="38">
        <v>120</v>
      </c>
      <c r="V88" s="38">
        <v>120</v>
      </c>
      <c r="W88" s="38">
        <v>120</v>
      </c>
      <c r="X88" s="38">
        <v>120</v>
      </c>
      <c r="Y88" s="38">
        <v>500</v>
      </c>
      <c r="Z88" s="38">
        <v>500</v>
      </c>
      <c r="AA88" s="38">
        <v>500</v>
      </c>
      <c r="AB88" s="38">
        <v>500</v>
      </c>
      <c r="AC88" s="38">
        <v>2</v>
      </c>
      <c r="AD88" s="38">
        <v>4</v>
      </c>
      <c r="AE88" s="38">
        <v>8</v>
      </c>
      <c r="AF88" s="38">
        <v>8</v>
      </c>
      <c r="AG88" s="38">
        <v>0</v>
      </c>
      <c r="AH88" s="38">
        <v>0</v>
      </c>
      <c r="AI88" s="38">
        <v>0</v>
      </c>
      <c r="AJ88" s="38">
        <v>0</v>
      </c>
    </row>
    <row r="89" spans="1:36">
      <c r="A89" t="s">
        <v>112</v>
      </c>
      <c r="B89" t="s">
        <v>305</v>
      </c>
      <c r="C89" s="2" t="s">
        <v>111</v>
      </c>
      <c r="D89" s="5" t="s">
        <v>35</v>
      </c>
      <c r="E89" s="40">
        <v>87000</v>
      </c>
      <c r="F89" s="40">
        <v>87000</v>
      </c>
      <c r="G89" s="40">
        <v>87000</v>
      </c>
      <c r="H89" s="40">
        <v>87000</v>
      </c>
      <c r="I89" s="41">
        <v>91.724137931034477</v>
      </c>
      <c r="J89" s="41">
        <v>91.724137931034477</v>
      </c>
      <c r="K89" s="41">
        <v>103.16</v>
      </c>
      <c r="L89" s="41">
        <v>103.16</v>
      </c>
      <c r="M89" s="38">
        <v>400</v>
      </c>
      <c r="N89" s="38">
        <v>400</v>
      </c>
      <c r="O89" s="38">
        <v>400</v>
      </c>
      <c r="P89" s="38">
        <v>400</v>
      </c>
      <c r="Q89" s="38">
        <v>120</v>
      </c>
      <c r="R89" s="38">
        <v>120</v>
      </c>
      <c r="S89" s="38">
        <v>120</v>
      </c>
      <c r="T89" s="38">
        <v>120</v>
      </c>
      <c r="U89" s="38">
        <v>120</v>
      </c>
      <c r="V89" s="38">
        <v>120</v>
      </c>
      <c r="W89" s="38">
        <v>120</v>
      </c>
      <c r="X89" s="38">
        <v>120</v>
      </c>
      <c r="Y89" s="38">
        <v>500</v>
      </c>
      <c r="Z89" s="38">
        <v>500</v>
      </c>
      <c r="AA89" s="38">
        <v>500</v>
      </c>
      <c r="AB89" s="38">
        <v>500</v>
      </c>
      <c r="AC89" s="38">
        <v>2</v>
      </c>
      <c r="AD89" s="38">
        <v>4</v>
      </c>
      <c r="AE89" s="38">
        <v>8</v>
      </c>
      <c r="AF89" s="38">
        <v>8</v>
      </c>
      <c r="AG89" s="38">
        <v>0</v>
      </c>
      <c r="AH89" s="38">
        <v>0</v>
      </c>
      <c r="AI89" s="38">
        <v>0</v>
      </c>
      <c r="AJ89" s="38">
        <v>0</v>
      </c>
    </row>
    <row r="90" spans="1:36">
      <c r="A90" t="s">
        <v>112</v>
      </c>
      <c r="B90" t="s">
        <v>305</v>
      </c>
      <c r="C90" s="2" t="s">
        <v>111</v>
      </c>
      <c r="D90" s="5" t="s">
        <v>35</v>
      </c>
      <c r="E90" s="40">
        <v>88000</v>
      </c>
      <c r="F90" s="40">
        <v>88000</v>
      </c>
      <c r="G90" s="40">
        <v>88000</v>
      </c>
      <c r="H90" s="40">
        <v>88000</v>
      </c>
      <c r="I90" s="41">
        <v>91.704545454545453</v>
      </c>
      <c r="J90" s="41">
        <v>91.704545454545453</v>
      </c>
      <c r="K90" s="41">
        <v>103.13</v>
      </c>
      <c r="L90" s="41">
        <v>103.13</v>
      </c>
      <c r="M90" s="38">
        <v>400</v>
      </c>
      <c r="N90" s="38">
        <v>400</v>
      </c>
      <c r="O90" s="38">
        <v>400</v>
      </c>
      <c r="P90" s="38">
        <v>400</v>
      </c>
      <c r="Q90" s="38">
        <v>120</v>
      </c>
      <c r="R90" s="38">
        <v>120</v>
      </c>
      <c r="S90" s="38">
        <v>120</v>
      </c>
      <c r="T90" s="38">
        <v>120</v>
      </c>
      <c r="U90" s="38">
        <v>120</v>
      </c>
      <c r="V90" s="38">
        <v>120</v>
      </c>
      <c r="W90" s="38">
        <v>120</v>
      </c>
      <c r="X90" s="38">
        <v>120</v>
      </c>
      <c r="Y90" s="38">
        <v>500</v>
      </c>
      <c r="Z90" s="38">
        <v>500</v>
      </c>
      <c r="AA90" s="38">
        <v>500</v>
      </c>
      <c r="AB90" s="38">
        <v>500</v>
      </c>
      <c r="AC90" s="38">
        <v>2</v>
      </c>
      <c r="AD90" s="38">
        <v>4</v>
      </c>
      <c r="AE90" s="38">
        <v>8</v>
      </c>
      <c r="AF90" s="38">
        <v>8</v>
      </c>
      <c r="AG90" s="38">
        <v>0</v>
      </c>
      <c r="AH90" s="38">
        <v>0</v>
      </c>
      <c r="AI90" s="38">
        <v>0</v>
      </c>
      <c r="AJ90" s="38">
        <v>0</v>
      </c>
    </row>
    <row r="91" spans="1:36">
      <c r="A91" t="s">
        <v>112</v>
      </c>
      <c r="B91" t="s">
        <v>305</v>
      </c>
      <c r="C91" s="2" t="s">
        <v>111</v>
      </c>
      <c r="D91" s="5" t="s">
        <v>35</v>
      </c>
      <c r="E91" s="40">
        <v>89000</v>
      </c>
      <c r="F91" s="40">
        <v>89000</v>
      </c>
      <c r="G91" s="40">
        <v>89000</v>
      </c>
      <c r="H91" s="40">
        <v>89000</v>
      </c>
      <c r="I91" s="41">
        <v>91.68539325842697</v>
      </c>
      <c r="J91" s="41">
        <v>91.68539325842697</v>
      </c>
      <c r="K91" s="41">
        <v>103.09</v>
      </c>
      <c r="L91" s="41">
        <v>103.09</v>
      </c>
      <c r="M91" s="38">
        <v>400</v>
      </c>
      <c r="N91" s="38">
        <v>400</v>
      </c>
      <c r="O91" s="38">
        <v>400</v>
      </c>
      <c r="P91" s="38">
        <v>400</v>
      </c>
      <c r="Q91" s="38">
        <v>120</v>
      </c>
      <c r="R91" s="38">
        <v>120</v>
      </c>
      <c r="S91" s="38">
        <v>120</v>
      </c>
      <c r="T91" s="38">
        <v>120</v>
      </c>
      <c r="U91" s="38">
        <v>120</v>
      </c>
      <c r="V91" s="38">
        <v>120</v>
      </c>
      <c r="W91" s="38">
        <v>120</v>
      </c>
      <c r="X91" s="38">
        <v>120</v>
      </c>
      <c r="Y91" s="38">
        <v>500</v>
      </c>
      <c r="Z91" s="38">
        <v>500</v>
      </c>
      <c r="AA91" s="38">
        <v>500</v>
      </c>
      <c r="AB91" s="38">
        <v>500</v>
      </c>
      <c r="AC91" s="38">
        <v>2</v>
      </c>
      <c r="AD91" s="38">
        <v>4</v>
      </c>
      <c r="AE91" s="38">
        <v>8</v>
      </c>
      <c r="AF91" s="38">
        <v>8</v>
      </c>
      <c r="AG91" s="38">
        <v>0</v>
      </c>
      <c r="AH91" s="38">
        <v>0</v>
      </c>
      <c r="AI91" s="38">
        <v>0</v>
      </c>
      <c r="AJ91" s="38">
        <v>0</v>
      </c>
    </row>
    <row r="92" spans="1:36">
      <c r="A92" t="s">
        <v>112</v>
      </c>
      <c r="B92" t="s">
        <v>305</v>
      </c>
      <c r="C92" s="2" t="s">
        <v>111</v>
      </c>
      <c r="D92" s="5" t="s">
        <v>35</v>
      </c>
      <c r="E92" s="40">
        <v>90000</v>
      </c>
      <c r="F92" s="40">
        <v>90000</v>
      </c>
      <c r="G92" s="40">
        <v>90000</v>
      </c>
      <c r="H92" s="40">
        <v>90000</v>
      </c>
      <c r="I92" s="41">
        <v>91.666666666666657</v>
      </c>
      <c r="J92" s="41">
        <v>91.666666666666657</v>
      </c>
      <c r="K92" s="41">
        <v>103.06</v>
      </c>
      <c r="L92" s="41">
        <v>103.06</v>
      </c>
      <c r="M92" s="38">
        <v>400</v>
      </c>
      <c r="N92" s="38">
        <v>400</v>
      </c>
      <c r="O92" s="38">
        <v>400</v>
      </c>
      <c r="P92" s="38">
        <v>400</v>
      </c>
      <c r="Q92" s="38">
        <v>120</v>
      </c>
      <c r="R92" s="38">
        <v>120</v>
      </c>
      <c r="S92" s="38">
        <v>120</v>
      </c>
      <c r="T92" s="38">
        <v>120</v>
      </c>
      <c r="U92" s="38">
        <v>120</v>
      </c>
      <c r="V92" s="38">
        <v>120</v>
      </c>
      <c r="W92" s="38">
        <v>120</v>
      </c>
      <c r="X92" s="38">
        <v>120</v>
      </c>
      <c r="Y92" s="38">
        <v>500</v>
      </c>
      <c r="Z92" s="38">
        <v>500</v>
      </c>
      <c r="AA92" s="38">
        <v>500</v>
      </c>
      <c r="AB92" s="38">
        <v>500</v>
      </c>
      <c r="AC92" s="38">
        <v>2</v>
      </c>
      <c r="AD92" s="38">
        <v>4</v>
      </c>
      <c r="AE92" s="38">
        <v>8</v>
      </c>
      <c r="AF92" s="38">
        <v>8</v>
      </c>
      <c r="AG92" s="38">
        <v>0</v>
      </c>
      <c r="AH92" s="38">
        <v>0</v>
      </c>
      <c r="AI92" s="38">
        <v>0</v>
      </c>
      <c r="AJ92" s="38">
        <v>0</v>
      </c>
    </row>
    <row r="93" spans="1:36">
      <c r="A93" t="s">
        <v>112</v>
      </c>
      <c r="B93" t="s">
        <v>305</v>
      </c>
      <c r="C93" s="2" t="s">
        <v>111</v>
      </c>
      <c r="D93" s="5" t="s">
        <v>35</v>
      </c>
      <c r="E93" s="40">
        <v>91000</v>
      </c>
      <c r="F93" s="40">
        <v>91000</v>
      </c>
      <c r="G93" s="40">
        <v>91000</v>
      </c>
      <c r="H93" s="40">
        <v>91000</v>
      </c>
      <c r="I93" s="41">
        <v>91.64835164835165</v>
      </c>
      <c r="J93" s="41">
        <v>91.64835164835165</v>
      </c>
      <c r="K93" s="41">
        <v>103.02</v>
      </c>
      <c r="L93" s="41">
        <v>103.02</v>
      </c>
      <c r="M93" s="38">
        <v>400</v>
      </c>
      <c r="N93" s="38">
        <v>400</v>
      </c>
      <c r="O93" s="38">
        <v>400</v>
      </c>
      <c r="P93" s="38">
        <v>400</v>
      </c>
      <c r="Q93" s="38">
        <v>120</v>
      </c>
      <c r="R93" s="38">
        <v>120</v>
      </c>
      <c r="S93" s="38">
        <v>120</v>
      </c>
      <c r="T93" s="38">
        <v>120</v>
      </c>
      <c r="U93" s="38">
        <v>120</v>
      </c>
      <c r="V93" s="38">
        <v>120</v>
      </c>
      <c r="W93" s="38">
        <v>120</v>
      </c>
      <c r="X93" s="38">
        <v>120</v>
      </c>
      <c r="Y93" s="38">
        <v>500</v>
      </c>
      <c r="Z93" s="38">
        <v>500</v>
      </c>
      <c r="AA93" s="38">
        <v>500</v>
      </c>
      <c r="AB93" s="38">
        <v>500</v>
      </c>
      <c r="AC93" s="38">
        <v>2</v>
      </c>
      <c r="AD93" s="38">
        <v>4</v>
      </c>
      <c r="AE93" s="38">
        <v>8</v>
      </c>
      <c r="AF93" s="38">
        <v>8</v>
      </c>
      <c r="AG93" s="38">
        <v>0</v>
      </c>
      <c r="AH93" s="38">
        <v>0</v>
      </c>
      <c r="AI93" s="38">
        <v>0</v>
      </c>
      <c r="AJ93" s="38">
        <v>0</v>
      </c>
    </row>
    <row r="94" spans="1:36">
      <c r="A94" t="s">
        <v>112</v>
      </c>
      <c r="B94" t="s">
        <v>305</v>
      </c>
      <c r="C94" s="2" t="s">
        <v>111</v>
      </c>
      <c r="D94" s="5" t="s">
        <v>35</v>
      </c>
      <c r="E94" s="40">
        <v>92000</v>
      </c>
      <c r="F94" s="40">
        <v>92000</v>
      </c>
      <c r="G94" s="40">
        <v>92000</v>
      </c>
      <c r="H94" s="40">
        <v>92000</v>
      </c>
      <c r="I94" s="41">
        <v>91.630434782608702</v>
      </c>
      <c r="J94" s="41">
        <v>91.630434782608702</v>
      </c>
      <c r="K94" s="41">
        <v>102.99</v>
      </c>
      <c r="L94" s="41">
        <v>102.99</v>
      </c>
      <c r="M94" s="38">
        <v>400</v>
      </c>
      <c r="N94" s="38">
        <v>400</v>
      </c>
      <c r="O94" s="38">
        <v>400</v>
      </c>
      <c r="P94" s="38">
        <v>400</v>
      </c>
      <c r="Q94" s="38">
        <v>120</v>
      </c>
      <c r="R94" s="38">
        <v>120</v>
      </c>
      <c r="S94" s="38">
        <v>120</v>
      </c>
      <c r="T94" s="38">
        <v>120</v>
      </c>
      <c r="U94" s="38">
        <v>120</v>
      </c>
      <c r="V94" s="38">
        <v>120</v>
      </c>
      <c r="W94" s="38">
        <v>120</v>
      </c>
      <c r="X94" s="38">
        <v>120</v>
      </c>
      <c r="Y94" s="38">
        <v>500</v>
      </c>
      <c r="Z94" s="38">
        <v>500</v>
      </c>
      <c r="AA94" s="38">
        <v>500</v>
      </c>
      <c r="AB94" s="38">
        <v>500</v>
      </c>
      <c r="AC94" s="38">
        <v>2</v>
      </c>
      <c r="AD94" s="38">
        <v>4</v>
      </c>
      <c r="AE94" s="38">
        <v>8</v>
      </c>
      <c r="AF94" s="38">
        <v>8</v>
      </c>
      <c r="AG94" s="38">
        <v>0</v>
      </c>
      <c r="AH94" s="38">
        <v>0</v>
      </c>
      <c r="AI94" s="38">
        <v>0</v>
      </c>
      <c r="AJ94" s="38">
        <v>0</v>
      </c>
    </row>
    <row r="95" spans="1:36">
      <c r="A95" t="s">
        <v>112</v>
      </c>
      <c r="B95" t="s">
        <v>305</v>
      </c>
      <c r="C95" s="2" t="s">
        <v>111</v>
      </c>
      <c r="D95" s="5" t="s">
        <v>35</v>
      </c>
      <c r="E95" s="40">
        <v>93000</v>
      </c>
      <c r="F95" s="40">
        <v>93000</v>
      </c>
      <c r="G95" s="40">
        <v>93000</v>
      </c>
      <c r="H95" s="40">
        <v>93000</v>
      </c>
      <c r="I95" s="41">
        <v>91.612903225806448</v>
      </c>
      <c r="J95" s="41">
        <v>91.612903225806448</v>
      </c>
      <c r="K95" s="41">
        <v>102.96</v>
      </c>
      <c r="L95" s="41">
        <v>102.96</v>
      </c>
      <c r="M95" s="38">
        <v>400</v>
      </c>
      <c r="N95" s="38">
        <v>400</v>
      </c>
      <c r="O95" s="38">
        <v>400</v>
      </c>
      <c r="P95" s="38">
        <v>400</v>
      </c>
      <c r="Q95" s="38">
        <v>120</v>
      </c>
      <c r="R95" s="38">
        <v>120</v>
      </c>
      <c r="S95" s="38">
        <v>120</v>
      </c>
      <c r="T95" s="38">
        <v>120</v>
      </c>
      <c r="U95" s="38">
        <v>120</v>
      </c>
      <c r="V95" s="38">
        <v>120</v>
      </c>
      <c r="W95" s="38">
        <v>120</v>
      </c>
      <c r="X95" s="38">
        <v>120</v>
      </c>
      <c r="Y95" s="38">
        <v>500</v>
      </c>
      <c r="Z95" s="38">
        <v>500</v>
      </c>
      <c r="AA95" s="38">
        <v>500</v>
      </c>
      <c r="AB95" s="38">
        <v>500</v>
      </c>
      <c r="AC95" s="38">
        <v>2</v>
      </c>
      <c r="AD95" s="38">
        <v>4</v>
      </c>
      <c r="AE95" s="38">
        <v>8</v>
      </c>
      <c r="AF95" s="38">
        <v>8</v>
      </c>
      <c r="AG95" s="38">
        <v>0</v>
      </c>
      <c r="AH95" s="38">
        <v>0</v>
      </c>
      <c r="AI95" s="38">
        <v>0</v>
      </c>
      <c r="AJ95" s="38">
        <v>0</v>
      </c>
    </row>
    <row r="96" spans="1:36">
      <c r="A96" t="s">
        <v>112</v>
      </c>
      <c r="B96" t="s">
        <v>305</v>
      </c>
      <c r="C96" s="2" t="s">
        <v>111</v>
      </c>
      <c r="D96" s="5" t="s">
        <v>35</v>
      </c>
      <c r="E96" s="40">
        <v>94000</v>
      </c>
      <c r="F96" s="40">
        <v>94000</v>
      </c>
      <c r="G96" s="40">
        <v>94000</v>
      </c>
      <c r="H96" s="40">
        <v>94000</v>
      </c>
      <c r="I96" s="41">
        <v>91.59574468085107</v>
      </c>
      <c r="J96" s="41">
        <v>91.59574468085107</v>
      </c>
      <c r="K96" s="41">
        <v>102.93</v>
      </c>
      <c r="L96" s="41">
        <v>102.93</v>
      </c>
      <c r="M96" s="38">
        <v>400</v>
      </c>
      <c r="N96" s="38">
        <v>400</v>
      </c>
      <c r="O96" s="38">
        <v>400</v>
      </c>
      <c r="P96" s="38">
        <v>400</v>
      </c>
      <c r="Q96" s="38">
        <v>120</v>
      </c>
      <c r="R96" s="38">
        <v>120</v>
      </c>
      <c r="S96" s="38">
        <v>120</v>
      </c>
      <c r="T96" s="38">
        <v>120</v>
      </c>
      <c r="U96" s="38">
        <v>120</v>
      </c>
      <c r="V96" s="38">
        <v>120</v>
      </c>
      <c r="W96" s="38">
        <v>120</v>
      </c>
      <c r="X96" s="38">
        <v>120</v>
      </c>
      <c r="Y96" s="38">
        <v>500</v>
      </c>
      <c r="Z96" s="38">
        <v>500</v>
      </c>
      <c r="AA96" s="38">
        <v>500</v>
      </c>
      <c r="AB96" s="38">
        <v>500</v>
      </c>
      <c r="AC96" s="38">
        <v>2</v>
      </c>
      <c r="AD96" s="38">
        <v>4</v>
      </c>
      <c r="AE96" s="38">
        <v>8</v>
      </c>
      <c r="AF96" s="38">
        <v>8</v>
      </c>
      <c r="AG96" s="38">
        <v>0</v>
      </c>
      <c r="AH96" s="38">
        <v>0</v>
      </c>
      <c r="AI96" s="38">
        <v>0</v>
      </c>
      <c r="AJ96" s="38">
        <v>0</v>
      </c>
    </row>
    <row r="97" spans="1:36">
      <c r="A97" t="s">
        <v>112</v>
      </c>
      <c r="B97" t="s">
        <v>305</v>
      </c>
      <c r="C97" s="2" t="s">
        <v>111</v>
      </c>
      <c r="D97" s="5" t="s">
        <v>35</v>
      </c>
      <c r="E97" s="40">
        <v>95000</v>
      </c>
      <c r="F97" s="40">
        <v>95000</v>
      </c>
      <c r="G97" s="40">
        <v>95000</v>
      </c>
      <c r="H97" s="40">
        <v>95000</v>
      </c>
      <c r="I97" s="41">
        <v>91.578947368421055</v>
      </c>
      <c r="J97" s="41">
        <v>91.578947368421055</v>
      </c>
      <c r="K97" s="41">
        <v>102.89</v>
      </c>
      <c r="L97" s="41">
        <v>102.89</v>
      </c>
      <c r="M97" s="38">
        <v>400</v>
      </c>
      <c r="N97" s="38">
        <v>400</v>
      </c>
      <c r="O97" s="38">
        <v>400</v>
      </c>
      <c r="P97" s="38">
        <v>400</v>
      </c>
      <c r="Q97" s="38">
        <v>120</v>
      </c>
      <c r="R97" s="38">
        <v>120</v>
      </c>
      <c r="S97" s="38">
        <v>120</v>
      </c>
      <c r="T97" s="38">
        <v>120</v>
      </c>
      <c r="U97" s="38">
        <v>120</v>
      </c>
      <c r="V97" s="38">
        <v>120</v>
      </c>
      <c r="W97" s="38">
        <v>120</v>
      </c>
      <c r="X97" s="38">
        <v>120</v>
      </c>
      <c r="Y97" s="38">
        <v>500</v>
      </c>
      <c r="Z97" s="38">
        <v>500</v>
      </c>
      <c r="AA97" s="38">
        <v>500</v>
      </c>
      <c r="AB97" s="38">
        <v>500</v>
      </c>
      <c r="AC97" s="38">
        <v>2</v>
      </c>
      <c r="AD97" s="38">
        <v>4</v>
      </c>
      <c r="AE97" s="38">
        <v>8</v>
      </c>
      <c r="AF97" s="38">
        <v>8</v>
      </c>
      <c r="AG97" s="38">
        <v>0</v>
      </c>
      <c r="AH97" s="38">
        <v>0</v>
      </c>
      <c r="AI97" s="38">
        <v>0</v>
      </c>
      <c r="AJ97" s="38">
        <v>0</v>
      </c>
    </row>
    <row r="98" spans="1:36">
      <c r="A98" t="s">
        <v>112</v>
      </c>
      <c r="B98" t="s">
        <v>305</v>
      </c>
      <c r="C98" s="2" t="s">
        <v>111</v>
      </c>
      <c r="D98" s="5" t="s">
        <v>35</v>
      </c>
      <c r="E98" s="40">
        <v>96000</v>
      </c>
      <c r="F98" s="40">
        <v>96000</v>
      </c>
      <c r="G98" s="40">
        <v>96000</v>
      </c>
      <c r="H98" s="40">
        <v>96000</v>
      </c>
      <c r="I98" s="41">
        <v>91.5625</v>
      </c>
      <c r="J98" s="41">
        <v>91.5625</v>
      </c>
      <c r="K98" s="41">
        <v>102.86</v>
      </c>
      <c r="L98" s="41">
        <v>102.86</v>
      </c>
      <c r="M98" s="38">
        <v>400</v>
      </c>
      <c r="N98" s="38">
        <v>400</v>
      </c>
      <c r="O98" s="38">
        <v>400</v>
      </c>
      <c r="P98" s="38">
        <v>400</v>
      </c>
      <c r="Q98" s="38">
        <v>120</v>
      </c>
      <c r="R98" s="38">
        <v>120</v>
      </c>
      <c r="S98" s="38">
        <v>120</v>
      </c>
      <c r="T98" s="38">
        <v>120</v>
      </c>
      <c r="U98" s="38">
        <v>120</v>
      </c>
      <c r="V98" s="38">
        <v>120</v>
      </c>
      <c r="W98" s="38">
        <v>120</v>
      </c>
      <c r="X98" s="38">
        <v>120</v>
      </c>
      <c r="Y98" s="38">
        <v>500</v>
      </c>
      <c r="Z98" s="38">
        <v>500</v>
      </c>
      <c r="AA98" s="38">
        <v>500</v>
      </c>
      <c r="AB98" s="38">
        <v>500</v>
      </c>
      <c r="AC98" s="38">
        <v>2</v>
      </c>
      <c r="AD98" s="38">
        <v>4</v>
      </c>
      <c r="AE98" s="38">
        <v>8</v>
      </c>
      <c r="AF98" s="38">
        <v>8</v>
      </c>
      <c r="AG98" s="38">
        <v>0</v>
      </c>
      <c r="AH98" s="38">
        <v>0</v>
      </c>
      <c r="AI98" s="38">
        <v>0</v>
      </c>
      <c r="AJ98" s="38">
        <v>0</v>
      </c>
    </row>
    <row r="99" spans="1:36">
      <c r="A99" t="s">
        <v>112</v>
      </c>
      <c r="B99" t="s">
        <v>305</v>
      </c>
      <c r="C99" s="2" t="s">
        <v>111</v>
      </c>
      <c r="D99" s="5" t="s">
        <v>35</v>
      </c>
      <c r="E99" s="40">
        <v>97000</v>
      </c>
      <c r="F99" s="40">
        <v>97000</v>
      </c>
      <c r="G99" s="40">
        <v>97000</v>
      </c>
      <c r="H99" s="40">
        <v>97000</v>
      </c>
      <c r="I99" s="41">
        <v>91.546391752577321</v>
      </c>
      <c r="J99" s="41">
        <v>91.546391752577321</v>
      </c>
      <c r="K99" s="41">
        <v>102.84</v>
      </c>
      <c r="L99" s="41">
        <v>102.84</v>
      </c>
      <c r="M99" s="38">
        <v>400</v>
      </c>
      <c r="N99" s="38">
        <v>400</v>
      </c>
      <c r="O99" s="38">
        <v>400</v>
      </c>
      <c r="P99" s="38">
        <v>400</v>
      </c>
      <c r="Q99" s="38">
        <v>120</v>
      </c>
      <c r="R99" s="38">
        <v>120</v>
      </c>
      <c r="S99" s="38">
        <v>120</v>
      </c>
      <c r="T99" s="38">
        <v>120</v>
      </c>
      <c r="U99" s="38">
        <v>120</v>
      </c>
      <c r="V99" s="38">
        <v>120</v>
      </c>
      <c r="W99" s="38">
        <v>120</v>
      </c>
      <c r="X99" s="38">
        <v>120</v>
      </c>
      <c r="Y99" s="38">
        <v>500</v>
      </c>
      <c r="Z99" s="38">
        <v>500</v>
      </c>
      <c r="AA99" s="38">
        <v>500</v>
      </c>
      <c r="AB99" s="38">
        <v>500</v>
      </c>
      <c r="AC99" s="38">
        <v>2</v>
      </c>
      <c r="AD99" s="38">
        <v>4</v>
      </c>
      <c r="AE99" s="38">
        <v>8</v>
      </c>
      <c r="AF99" s="38">
        <v>8</v>
      </c>
      <c r="AG99" s="38">
        <v>0</v>
      </c>
      <c r="AH99" s="38">
        <v>0</v>
      </c>
      <c r="AI99" s="38">
        <v>0</v>
      </c>
      <c r="AJ99" s="38">
        <v>0</v>
      </c>
    </row>
    <row r="100" spans="1:36">
      <c r="A100" t="s">
        <v>112</v>
      </c>
      <c r="B100" t="s">
        <v>305</v>
      </c>
      <c r="C100" s="2" t="s">
        <v>111</v>
      </c>
      <c r="D100" s="5" t="s">
        <v>35</v>
      </c>
      <c r="E100" s="40">
        <v>98000</v>
      </c>
      <c r="F100" s="40">
        <v>98000</v>
      </c>
      <c r="G100" s="40">
        <v>98000</v>
      </c>
      <c r="H100" s="40">
        <v>98000</v>
      </c>
      <c r="I100" s="41">
        <v>91.530612244897966</v>
      </c>
      <c r="J100" s="41">
        <v>91.530612244897966</v>
      </c>
      <c r="K100" s="41">
        <v>102.81</v>
      </c>
      <c r="L100" s="41">
        <v>102.81</v>
      </c>
      <c r="M100" s="38">
        <v>400</v>
      </c>
      <c r="N100" s="38">
        <v>400</v>
      </c>
      <c r="O100" s="38">
        <v>400</v>
      </c>
      <c r="P100" s="38">
        <v>400</v>
      </c>
      <c r="Q100" s="38">
        <v>120</v>
      </c>
      <c r="R100" s="38">
        <v>120</v>
      </c>
      <c r="S100" s="38">
        <v>120</v>
      </c>
      <c r="T100" s="38">
        <v>120</v>
      </c>
      <c r="U100" s="38">
        <v>120</v>
      </c>
      <c r="V100" s="38">
        <v>120</v>
      </c>
      <c r="W100" s="38">
        <v>120</v>
      </c>
      <c r="X100" s="38">
        <v>120</v>
      </c>
      <c r="Y100" s="38">
        <v>500</v>
      </c>
      <c r="Z100" s="38">
        <v>500</v>
      </c>
      <c r="AA100" s="38">
        <v>500</v>
      </c>
      <c r="AB100" s="38">
        <v>500</v>
      </c>
      <c r="AC100" s="38">
        <v>2</v>
      </c>
      <c r="AD100" s="38">
        <v>4</v>
      </c>
      <c r="AE100" s="38">
        <v>8</v>
      </c>
      <c r="AF100" s="38">
        <v>8</v>
      </c>
      <c r="AG100" s="38">
        <v>0</v>
      </c>
      <c r="AH100" s="38">
        <v>0</v>
      </c>
      <c r="AI100" s="38">
        <v>0</v>
      </c>
      <c r="AJ100" s="38">
        <v>0</v>
      </c>
    </row>
    <row r="101" spans="1:36">
      <c r="A101" t="s">
        <v>112</v>
      </c>
      <c r="B101" t="s">
        <v>305</v>
      </c>
      <c r="C101" s="2" t="s">
        <v>111</v>
      </c>
      <c r="D101" s="5" t="s">
        <v>35</v>
      </c>
      <c r="E101" s="40">
        <v>99000</v>
      </c>
      <c r="F101" s="40">
        <v>99000</v>
      </c>
      <c r="G101" s="40">
        <v>99000</v>
      </c>
      <c r="H101" s="40">
        <v>99000</v>
      </c>
      <c r="I101" s="41">
        <v>91.515151515151516</v>
      </c>
      <c r="J101" s="41">
        <v>91.515151515151516</v>
      </c>
      <c r="K101" s="41">
        <v>102.78</v>
      </c>
      <c r="L101" s="41">
        <v>102.78</v>
      </c>
      <c r="M101" s="38">
        <v>400</v>
      </c>
      <c r="N101" s="38">
        <v>400</v>
      </c>
      <c r="O101" s="38">
        <v>400</v>
      </c>
      <c r="P101" s="38">
        <v>400</v>
      </c>
      <c r="Q101" s="38">
        <v>120</v>
      </c>
      <c r="R101" s="38">
        <v>120</v>
      </c>
      <c r="S101" s="38">
        <v>120</v>
      </c>
      <c r="T101" s="38">
        <v>120</v>
      </c>
      <c r="U101" s="38">
        <v>120</v>
      </c>
      <c r="V101" s="38">
        <v>120</v>
      </c>
      <c r="W101" s="38">
        <v>120</v>
      </c>
      <c r="X101" s="38">
        <v>120</v>
      </c>
      <c r="Y101" s="38">
        <v>500</v>
      </c>
      <c r="Z101" s="38">
        <v>500</v>
      </c>
      <c r="AA101" s="38">
        <v>500</v>
      </c>
      <c r="AB101" s="38">
        <v>500</v>
      </c>
      <c r="AC101" s="38">
        <v>2</v>
      </c>
      <c r="AD101" s="38">
        <v>4</v>
      </c>
      <c r="AE101" s="38">
        <v>8</v>
      </c>
      <c r="AF101" s="38">
        <v>8</v>
      </c>
      <c r="AG101" s="38">
        <v>0</v>
      </c>
      <c r="AH101" s="38">
        <v>0</v>
      </c>
      <c r="AI101" s="38">
        <v>0</v>
      </c>
      <c r="AJ101" s="38">
        <v>0</v>
      </c>
    </row>
    <row r="102" spans="1:36">
      <c r="A102" t="s">
        <v>112</v>
      </c>
      <c r="B102" t="s">
        <v>305</v>
      </c>
      <c r="C102" s="2" t="s">
        <v>111</v>
      </c>
      <c r="D102" s="5" t="s">
        <v>35</v>
      </c>
      <c r="E102" s="40">
        <v>100000</v>
      </c>
      <c r="F102" s="40">
        <v>100000</v>
      </c>
      <c r="G102" s="40">
        <v>100000</v>
      </c>
      <c r="H102" s="40">
        <v>100000</v>
      </c>
      <c r="I102" s="41">
        <v>91.5</v>
      </c>
      <c r="J102" s="41">
        <v>91.5</v>
      </c>
      <c r="K102" s="41">
        <v>102.75</v>
      </c>
      <c r="L102" s="41">
        <v>102.75</v>
      </c>
      <c r="M102" s="38">
        <v>400</v>
      </c>
      <c r="N102" s="38">
        <v>400</v>
      </c>
      <c r="O102" s="38">
        <v>400</v>
      </c>
      <c r="P102" s="38">
        <v>400</v>
      </c>
      <c r="Q102" s="38">
        <v>120</v>
      </c>
      <c r="R102" s="38">
        <v>120</v>
      </c>
      <c r="S102" s="38">
        <v>120</v>
      </c>
      <c r="T102" s="38">
        <v>120</v>
      </c>
      <c r="U102" s="38">
        <v>120</v>
      </c>
      <c r="V102" s="38">
        <v>120</v>
      </c>
      <c r="W102" s="38">
        <v>120</v>
      </c>
      <c r="X102" s="38">
        <v>120</v>
      </c>
      <c r="Y102" s="38">
        <v>500</v>
      </c>
      <c r="Z102" s="38">
        <v>500</v>
      </c>
      <c r="AA102" s="38">
        <v>500</v>
      </c>
      <c r="AB102" s="38">
        <v>500</v>
      </c>
      <c r="AC102" s="38">
        <v>2</v>
      </c>
      <c r="AD102" s="38">
        <v>4</v>
      </c>
      <c r="AE102" s="38">
        <v>8</v>
      </c>
      <c r="AF102" s="38">
        <v>8</v>
      </c>
      <c r="AG102" s="38">
        <v>0</v>
      </c>
      <c r="AH102" s="38">
        <v>0</v>
      </c>
      <c r="AI102" s="38">
        <v>0</v>
      </c>
      <c r="AJ102" s="38">
        <v>0</v>
      </c>
    </row>
    <row r="103" spans="1:36">
      <c r="A103" t="s">
        <v>112</v>
      </c>
      <c r="B103" t="s">
        <v>313</v>
      </c>
      <c r="C103" s="2" t="s">
        <v>111</v>
      </c>
      <c r="D103" s="6" t="s">
        <v>46</v>
      </c>
      <c r="E103" s="38">
        <v>1000</v>
      </c>
      <c r="F103" s="38">
        <v>1000</v>
      </c>
      <c r="G103" s="38">
        <v>1000</v>
      </c>
      <c r="H103" s="38">
        <v>1000</v>
      </c>
      <c r="I103" s="39">
        <v>150</v>
      </c>
      <c r="J103" s="39">
        <v>150</v>
      </c>
      <c r="K103" s="39">
        <v>175</v>
      </c>
      <c r="L103" s="39">
        <v>175</v>
      </c>
      <c r="M103" s="38">
        <v>250</v>
      </c>
      <c r="N103" s="38">
        <v>250</v>
      </c>
      <c r="O103" s="38">
        <v>250</v>
      </c>
      <c r="P103" s="38">
        <v>250</v>
      </c>
      <c r="Q103" s="38">
        <v>115</v>
      </c>
      <c r="R103" s="38">
        <v>115</v>
      </c>
      <c r="S103" s="38">
        <v>115</v>
      </c>
      <c r="T103" s="38">
        <v>115</v>
      </c>
      <c r="U103" s="38">
        <v>115</v>
      </c>
      <c r="V103" s="38">
        <v>115</v>
      </c>
      <c r="W103" s="38">
        <v>115</v>
      </c>
      <c r="X103" s="38">
        <v>115</v>
      </c>
      <c r="Y103" s="38">
        <v>250</v>
      </c>
      <c r="Z103" s="38">
        <v>250</v>
      </c>
      <c r="AA103" s="38">
        <v>250</v>
      </c>
      <c r="AB103" s="38">
        <v>250</v>
      </c>
      <c r="AC103" s="38">
        <v>2</v>
      </c>
      <c r="AD103" s="38">
        <v>4</v>
      </c>
      <c r="AE103" s="38">
        <v>8</v>
      </c>
      <c r="AF103" s="38">
        <v>8</v>
      </c>
      <c r="AG103" s="38">
        <v>0</v>
      </c>
      <c r="AH103" s="38">
        <v>0</v>
      </c>
      <c r="AI103" s="38">
        <v>0</v>
      </c>
      <c r="AJ103" s="38">
        <v>0</v>
      </c>
    </row>
    <row r="104" spans="1:36">
      <c r="A104" t="s">
        <v>112</v>
      </c>
      <c r="B104" t="s">
        <v>313</v>
      </c>
      <c r="C104" s="2" t="s">
        <v>111</v>
      </c>
      <c r="D104" s="6" t="s">
        <v>46</v>
      </c>
      <c r="E104" s="38">
        <v>2000</v>
      </c>
      <c r="F104" s="38">
        <v>2000</v>
      </c>
      <c r="G104" s="38">
        <v>2000</v>
      </c>
      <c r="H104" s="38">
        <v>2000</v>
      </c>
      <c r="I104" s="39">
        <v>125</v>
      </c>
      <c r="J104" s="39">
        <v>125</v>
      </c>
      <c r="K104" s="39">
        <v>150</v>
      </c>
      <c r="L104" s="39">
        <v>150</v>
      </c>
      <c r="M104" s="38">
        <v>250</v>
      </c>
      <c r="N104" s="38">
        <v>250</v>
      </c>
      <c r="O104" s="38">
        <v>250</v>
      </c>
      <c r="P104" s="38">
        <v>250</v>
      </c>
      <c r="Q104" s="38">
        <v>115</v>
      </c>
      <c r="R104" s="38">
        <v>115</v>
      </c>
      <c r="S104" s="38">
        <v>115</v>
      </c>
      <c r="T104" s="38">
        <v>115</v>
      </c>
      <c r="U104" s="38">
        <v>115</v>
      </c>
      <c r="V104" s="38">
        <v>115</v>
      </c>
      <c r="W104" s="38">
        <v>115</v>
      </c>
      <c r="X104" s="38">
        <v>115</v>
      </c>
      <c r="Y104" s="38">
        <v>250</v>
      </c>
      <c r="Z104" s="38">
        <v>250</v>
      </c>
      <c r="AA104" s="38">
        <v>250</v>
      </c>
      <c r="AB104" s="38">
        <v>250</v>
      </c>
      <c r="AC104" s="38">
        <v>2</v>
      </c>
      <c r="AD104" s="38">
        <v>4</v>
      </c>
      <c r="AE104" s="38">
        <v>8</v>
      </c>
      <c r="AF104" s="38">
        <v>8</v>
      </c>
      <c r="AG104" s="38">
        <v>0</v>
      </c>
      <c r="AH104" s="38">
        <v>0</v>
      </c>
      <c r="AI104" s="38">
        <v>0</v>
      </c>
      <c r="AJ104" s="38">
        <v>0</v>
      </c>
    </row>
    <row r="105" spans="1:36">
      <c r="A105" t="s">
        <v>112</v>
      </c>
      <c r="B105" t="s">
        <v>313</v>
      </c>
      <c r="C105" s="2" t="s">
        <v>111</v>
      </c>
      <c r="D105" s="6" t="s">
        <v>46</v>
      </c>
      <c r="E105" s="38">
        <v>3000</v>
      </c>
      <c r="F105" s="38">
        <v>3000</v>
      </c>
      <c r="G105" s="38">
        <v>3000</v>
      </c>
      <c r="H105" s="38">
        <v>3000</v>
      </c>
      <c r="I105" s="39">
        <v>116.67</v>
      </c>
      <c r="J105" s="39">
        <v>116.67</v>
      </c>
      <c r="K105" s="39">
        <v>141.66999999999999</v>
      </c>
      <c r="L105" s="39">
        <v>141.66999999999999</v>
      </c>
      <c r="M105" s="38">
        <v>250</v>
      </c>
      <c r="N105" s="38">
        <v>250</v>
      </c>
      <c r="O105" s="38">
        <v>250</v>
      </c>
      <c r="P105" s="38">
        <v>250</v>
      </c>
      <c r="Q105" s="38">
        <v>115</v>
      </c>
      <c r="R105" s="38">
        <v>115</v>
      </c>
      <c r="S105" s="38">
        <v>115</v>
      </c>
      <c r="T105" s="38">
        <v>115</v>
      </c>
      <c r="U105" s="38">
        <v>115</v>
      </c>
      <c r="V105" s="38">
        <v>115</v>
      </c>
      <c r="W105" s="38">
        <v>115</v>
      </c>
      <c r="X105" s="38">
        <v>115</v>
      </c>
      <c r="Y105" s="38">
        <v>250</v>
      </c>
      <c r="Z105" s="38">
        <v>250</v>
      </c>
      <c r="AA105" s="38">
        <v>250</v>
      </c>
      <c r="AB105" s="38">
        <v>250</v>
      </c>
      <c r="AC105" s="38">
        <v>2</v>
      </c>
      <c r="AD105" s="38">
        <v>4</v>
      </c>
      <c r="AE105" s="38">
        <v>8</v>
      </c>
      <c r="AF105" s="38">
        <v>8</v>
      </c>
      <c r="AG105" s="38">
        <v>0</v>
      </c>
      <c r="AH105" s="38">
        <v>0</v>
      </c>
      <c r="AI105" s="38">
        <v>0</v>
      </c>
      <c r="AJ105" s="38">
        <v>0</v>
      </c>
    </row>
    <row r="106" spans="1:36">
      <c r="A106" t="s">
        <v>112</v>
      </c>
      <c r="B106" t="s">
        <v>313</v>
      </c>
      <c r="C106" s="2" t="s">
        <v>111</v>
      </c>
      <c r="D106" s="6" t="s">
        <v>46</v>
      </c>
      <c r="E106" s="38">
        <v>4000</v>
      </c>
      <c r="F106" s="38">
        <v>4000</v>
      </c>
      <c r="G106" s="38">
        <v>4000</v>
      </c>
      <c r="H106" s="38">
        <v>4000</v>
      </c>
      <c r="I106" s="39">
        <v>112.5</v>
      </c>
      <c r="J106" s="39">
        <v>112.5</v>
      </c>
      <c r="K106" s="39">
        <v>137.5</v>
      </c>
      <c r="L106" s="39">
        <v>137.5</v>
      </c>
      <c r="M106" s="38">
        <v>250</v>
      </c>
      <c r="N106" s="38">
        <v>250</v>
      </c>
      <c r="O106" s="38">
        <v>250</v>
      </c>
      <c r="P106" s="38">
        <v>250</v>
      </c>
      <c r="Q106" s="38">
        <v>115</v>
      </c>
      <c r="R106" s="38">
        <v>115</v>
      </c>
      <c r="S106" s="38">
        <v>115</v>
      </c>
      <c r="T106" s="38">
        <v>115</v>
      </c>
      <c r="U106" s="38">
        <v>115</v>
      </c>
      <c r="V106" s="38">
        <v>115</v>
      </c>
      <c r="W106" s="38">
        <v>115</v>
      </c>
      <c r="X106" s="38">
        <v>115</v>
      </c>
      <c r="Y106" s="38">
        <v>250</v>
      </c>
      <c r="Z106" s="38">
        <v>250</v>
      </c>
      <c r="AA106" s="38">
        <v>250</v>
      </c>
      <c r="AB106" s="38">
        <v>250</v>
      </c>
      <c r="AC106" s="38">
        <v>2</v>
      </c>
      <c r="AD106" s="38">
        <v>4</v>
      </c>
      <c r="AE106" s="38">
        <v>8</v>
      </c>
      <c r="AF106" s="38">
        <v>8</v>
      </c>
      <c r="AG106" s="38">
        <v>0</v>
      </c>
      <c r="AH106" s="38">
        <v>0</v>
      </c>
      <c r="AI106" s="38">
        <v>0</v>
      </c>
      <c r="AJ106" s="38">
        <v>0</v>
      </c>
    </row>
    <row r="107" spans="1:36">
      <c r="A107" t="s">
        <v>112</v>
      </c>
      <c r="B107" t="s">
        <v>313</v>
      </c>
      <c r="C107" s="2" t="s">
        <v>111</v>
      </c>
      <c r="D107" s="6" t="s">
        <v>46</v>
      </c>
      <c r="E107" s="38">
        <v>5000</v>
      </c>
      <c r="F107" s="38">
        <v>5000</v>
      </c>
      <c r="G107" s="38">
        <v>5000</v>
      </c>
      <c r="H107" s="38">
        <v>5000</v>
      </c>
      <c r="I107" s="39">
        <v>110</v>
      </c>
      <c r="J107" s="39">
        <v>110</v>
      </c>
      <c r="K107" s="39">
        <v>135</v>
      </c>
      <c r="L107" s="39">
        <v>135</v>
      </c>
      <c r="M107" s="38">
        <v>250</v>
      </c>
      <c r="N107" s="38">
        <v>250</v>
      </c>
      <c r="O107" s="38">
        <v>250</v>
      </c>
      <c r="P107" s="38">
        <v>250</v>
      </c>
      <c r="Q107" s="38">
        <v>115</v>
      </c>
      <c r="R107" s="38">
        <v>115</v>
      </c>
      <c r="S107" s="38">
        <v>115</v>
      </c>
      <c r="T107" s="38">
        <v>115</v>
      </c>
      <c r="U107" s="38">
        <v>115</v>
      </c>
      <c r="V107" s="38">
        <v>115</v>
      </c>
      <c r="W107" s="38">
        <v>115</v>
      </c>
      <c r="X107" s="38">
        <v>115</v>
      </c>
      <c r="Y107" s="38">
        <v>250</v>
      </c>
      <c r="Z107" s="38">
        <v>250</v>
      </c>
      <c r="AA107" s="38">
        <v>250</v>
      </c>
      <c r="AB107" s="38">
        <v>250</v>
      </c>
      <c r="AC107" s="38">
        <v>2</v>
      </c>
      <c r="AD107" s="38">
        <v>4</v>
      </c>
      <c r="AE107" s="38">
        <v>8</v>
      </c>
      <c r="AF107" s="38">
        <v>8</v>
      </c>
      <c r="AG107" s="38">
        <v>0</v>
      </c>
      <c r="AH107" s="38">
        <v>0</v>
      </c>
      <c r="AI107" s="38">
        <v>0</v>
      </c>
      <c r="AJ107" s="38">
        <v>0</v>
      </c>
    </row>
    <row r="108" spans="1:36">
      <c r="A108" t="s">
        <v>112</v>
      </c>
      <c r="B108" t="s">
        <v>313</v>
      </c>
      <c r="C108" s="2" t="s">
        <v>111</v>
      </c>
      <c r="D108" s="6" t="s">
        <v>46</v>
      </c>
      <c r="E108" s="38">
        <v>6000</v>
      </c>
      <c r="F108" s="38">
        <v>6000</v>
      </c>
      <c r="G108" s="38">
        <v>6000</v>
      </c>
      <c r="H108" s="38">
        <v>6000</v>
      </c>
      <c r="I108" s="39">
        <v>108.33</v>
      </c>
      <c r="J108" s="39">
        <v>108.33</v>
      </c>
      <c r="K108" s="39">
        <v>133.33000000000001</v>
      </c>
      <c r="L108" s="39">
        <v>133.33000000000001</v>
      </c>
      <c r="M108" s="38">
        <v>250</v>
      </c>
      <c r="N108" s="38">
        <v>250</v>
      </c>
      <c r="O108" s="38">
        <v>250</v>
      </c>
      <c r="P108" s="38">
        <v>250</v>
      </c>
      <c r="Q108" s="38">
        <v>115</v>
      </c>
      <c r="R108" s="38">
        <v>115</v>
      </c>
      <c r="S108" s="38">
        <v>115</v>
      </c>
      <c r="T108" s="38">
        <v>115</v>
      </c>
      <c r="U108" s="38">
        <v>115</v>
      </c>
      <c r="V108" s="38">
        <v>115</v>
      </c>
      <c r="W108" s="38">
        <v>115</v>
      </c>
      <c r="X108" s="38">
        <v>115</v>
      </c>
      <c r="Y108" s="38">
        <v>250</v>
      </c>
      <c r="Z108" s="38">
        <v>250</v>
      </c>
      <c r="AA108" s="38">
        <v>250</v>
      </c>
      <c r="AB108" s="38">
        <v>250</v>
      </c>
      <c r="AC108" s="38">
        <v>2</v>
      </c>
      <c r="AD108" s="38">
        <v>4</v>
      </c>
      <c r="AE108" s="38">
        <v>8</v>
      </c>
      <c r="AF108" s="38">
        <v>8</v>
      </c>
      <c r="AG108" s="38">
        <v>0</v>
      </c>
      <c r="AH108" s="38">
        <v>0</v>
      </c>
      <c r="AI108" s="38">
        <v>0</v>
      </c>
      <c r="AJ108" s="38">
        <v>0</v>
      </c>
    </row>
    <row r="109" spans="1:36">
      <c r="A109" t="s">
        <v>112</v>
      </c>
      <c r="B109" t="s">
        <v>313</v>
      </c>
      <c r="C109" s="2" t="s">
        <v>111</v>
      </c>
      <c r="D109" s="6" t="s">
        <v>46</v>
      </c>
      <c r="E109" s="38">
        <v>7000</v>
      </c>
      <c r="F109" s="38">
        <v>7000</v>
      </c>
      <c r="G109" s="38">
        <v>7000</v>
      </c>
      <c r="H109" s="38">
        <v>7000</v>
      </c>
      <c r="I109" s="39">
        <v>107.14</v>
      </c>
      <c r="J109" s="39">
        <v>107.14</v>
      </c>
      <c r="K109" s="39">
        <v>132.13999999999999</v>
      </c>
      <c r="L109" s="39">
        <v>132.13999999999999</v>
      </c>
      <c r="M109" s="38">
        <v>250</v>
      </c>
      <c r="N109" s="38">
        <v>250</v>
      </c>
      <c r="O109" s="38">
        <v>250</v>
      </c>
      <c r="P109" s="38">
        <v>250</v>
      </c>
      <c r="Q109" s="38">
        <v>115</v>
      </c>
      <c r="R109" s="38">
        <v>115</v>
      </c>
      <c r="S109" s="38">
        <v>115</v>
      </c>
      <c r="T109" s="38">
        <v>115</v>
      </c>
      <c r="U109" s="38">
        <v>115</v>
      </c>
      <c r="V109" s="38">
        <v>115</v>
      </c>
      <c r="W109" s="38">
        <v>115</v>
      </c>
      <c r="X109" s="38">
        <v>115</v>
      </c>
      <c r="Y109" s="38">
        <v>250</v>
      </c>
      <c r="Z109" s="38">
        <v>250</v>
      </c>
      <c r="AA109" s="38">
        <v>250</v>
      </c>
      <c r="AB109" s="38">
        <v>250</v>
      </c>
      <c r="AC109" s="38">
        <v>2</v>
      </c>
      <c r="AD109" s="38">
        <v>4</v>
      </c>
      <c r="AE109" s="38">
        <v>8</v>
      </c>
      <c r="AF109" s="38">
        <v>8</v>
      </c>
      <c r="AG109" s="38">
        <v>0</v>
      </c>
      <c r="AH109" s="38">
        <v>0</v>
      </c>
      <c r="AI109" s="38">
        <v>0</v>
      </c>
      <c r="AJ109" s="38">
        <v>0</v>
      </c>
    </row>
    <row r="110" spans="1:36">
      <c r="A110" t="s">
        <v>112</v>
      </c>
      <c r="B110" t="s">
        <v>313</v>
      </c>
      <c r="C110" s="2" t="s">
        <v>111</v>
      </c>
      <c r="D110" s="6" t="s">
        <v>46</v>
      </c>
      <c r="E110" s="38">
        <v>8000</v>
      </c>
      <c r="F110" s="38">
        <v>8000</v>
      </c>
      <c r="G110" s="38">
        <v>8000</v>
      </c>
      <c r="H110" s="38">
        <v>8000</v>
      </c>
      <c r="I110" s="39">
        <v>106.25</v>
      </c>
      <c r="J110" s="39">
        <v>106.25</v>
      </c>
      <c r="K110" s="39">
        <v>131.25</v>
      </c>
      <c r="L110" s="39">
        <v>131.25</v>
      </c>
      <c r="M110" s="38">
        <v>250</v>
      </c>
      <c r="N110" s="38">
        <v>250</v>
      </c>
      <c r="O110" s="38">
        <v>250</v>
      </c>
      <c r="P110" s="38">
        <v>250</v>
      </c>
      <c r="Q110" s="38">
        <v>115</v>
      </c>
      <c r="R110" s="38">
        <v>115</v>
      </c>
      <c r="S110" s="38">
        <v>115</v>
      </c>
      <c r="T110" s="38">
        <v>115</v>
      </c>
      <c r="U110" s="38">
        <v>115</v>
      </c>
      <c r="V110" s="38">
        <v>115</v>
      </c>
      <c r="W110" s="38">
        <v>115</v>
      </c>
      <c r="X110" s="38">
        <v>115</v>
      </c>
      <c r="Y110" s="38">
        <v>250</v>
      </c>
      <c r="Z110" s="38">
        <v>250</v>
      </c>
      <c r="AA110" s="38">
        <v>250</v>
      </c>
      <c r="AB110" s="38">
        <v>250</v>
      </c>
      <c r="AC110" s="38">
        <v>2</v>
      </c>
      <c r="AD110" s="38">
        <v>4</v>
      </c>
      <c r="AE110" s="38">
        <v>8</v>
      </c>
      <c r="AF110" s="38">
        <v>8</v>
      </c>
      <c r="AG110" s="38">
        <v>0</v>
      </c>
      <c r="AH110" s="38">
        <v>0</v>
      </c>
      <c r="AI110" s="38">
        <v>0</v>
      </c>
      <c r="AJ110" s="38">
        <v>0</v>
      </c>
    </row>
    <row r="111" spans="1:36">
      <c r="A111" t="s">
        <v>112</v>
      </c>
      <c r="B111" t="s">
        <v>313</v>
      </c>
      <c r="C111" s="2" t="s">
        <v>111</v>
      </c>
      <c r="D111" s="6" t="s">
        <v>46</v>
      </c>
      <c r="E111" s="38">
        <v>9000</v>
      </c>
      <c r="F111" s="38">
        <v>9000</v>
      </c>
      <c r="G111" s="38">
        <v>9000</v>
      </c>
      <c r="H111" s="38">
        <v>9000</v>
      </c>
      <c r="I111" s="39">
        <v>105.56</v>
      </c>
      <c r="J111" s="39">
        <v>105.56</v>
      </c>
      <c r="K111" s="39">
        <v>130.56</v>
      </c>
      <c r="L111" s="39">
        <v>130.56</v>
      </c>
      <c r="M111" s="38">
        <v>250</v>
      </c>
      <c r="N111" s="38">
        <v>250</v>
      </c>
      <c r="O111" s="38">
        <v>250</v>
      </c>
      <c r="P111" s="38">
        <v>250</v>
      </c>
      <c r="Q111" s="38">
        <v>115</v>
      </c>
      <c r="R111" s="38">
        <v>115</v>
      </c>
      <c r="S111" s="38">
        <v>115</v>
      </c>
      <c r="T111" s="38">
        <v>115</v>
      </c>
      <c r="U111" s="38">
        <v>115</v>
      </c>
      <c r="V111" s="38">
        <v>115</v>
      </c>
      <c r="W111" s="38">
        <v>115</v>
      </c>
      <c r="X111" s="38">
        <v>115</v>
      </c>
      <c r="Y111" s="38">
        <v>250</v>
      </c>
      <c r="Z111" s="38">
        <v>250</v>
      </c>
      <c r="AA111" s="38">
        <v>250</v>
      </c>
      <c r="AB111" s="38">
        <v>250</v>
      </c>
      <c r="AC111" s="38">
        <v>2</v>
      </c>
      <c r="AD111" s="38">
        <v>4</v>
      </c>
      <c r="AE111" s="38">
        <v>8</v>
      </c>
      <c r="AF111" s="38">
        <v>8</v>
      </c>
      <c r="AG111" s="38">
        <v>0</v>
      </c>
      <c r="AH111" s="38">
        <v>0</v>
      </c>
      <c r="AI111" s="38">
        <v>0</v>
      </c>
      <c r="AJ111" s="38">
        <v>0</v>
      </c>
    </row>
    <row r="112" spans="1:36">
      <c r="A112" t="s">
        <v>112</v>
      </c>
      <c r="B112" t="s">
        <v>313</v>
      </c>
      <c r="C112" s="2" t="s">
        <v>111</v>
      </c>
      <c r="D112" s="6" t="s">
        <v>46</v>
      </c>
      <c r="E112" s="38">
        <v>10000</v>
      </c>
      <c r="F112" s="38">
        <v>10000</v>
      </c>
      <c r="G112" s="38">
        <v>10000</v>
      </c>
      <c r="H112" s="38">
        <v>10000</v>
      </c>
      <c r="I112" s="39">
        <v>105</v>
      </c>
      <c r="J112" s="39">
        <v>105</v>
      </c>
      <c r="K112" s="39">
        <v>130</v>
      </c>
      <c r="L112" s="39">
        <v>130</v>
      </c>
      <c r="M112" s="38">
        <v>250</v>
      </c>
      <c r="N112" s="38">
        <v>250</v>
      </c>
      <c r="O112" s="38">
        <v>250</v>
      </c>
      <c r="P112" s="38">
        <v>250</v>
      </c>
      <c r="Q112" s="38">
        <v>115</v>
      </c>
      <c r="R112" s="38">
        <v>115</v>
      </c>
      <c r="S112" s="38">
        <v>115</v>
      </c>
      <c r="T112" s="38">
        <v>115</v>
      </c>
      <c r="U112" s="38">
        <v>115</v>
      </c>
      <c r="V112" s="38">
        <v>115</v>
      </c>
      <c r="W112" s="38">
        <v>115</v>
      </c>
      <c r="X112" s="38">
        <v>115</v>
      </c>
      <c r="Y112" s="38">
        <v>250</v>
      </c>
      <c r="Z112" s="38">
        <v>250</v>
      </c>
      <c r="AA112" s="38">
        <v>250</v>
      </c>
      <c r="AB112" s="38">
        <v>250</v>
      </c>
      <c r="AC112" s="38">
        <v>2</v>
      </c>
      <c r="AD112" s="38">
        <v>4</v>
      </c>
      <c r="AE112" s="38">
        <v>8</v>
      </c>
      <c r="AF112" s="38">
        <v>8</v>
      </c>
      <c r="AG112" s="38">
        <v>0</v>
      </c>
      <c r="AH112" s="38">
        <v>0</v>
      </c>
      <c r="AI112" s="38">
        <v>0</v>
      </c>
      <c r="AJ112" s="38">
        <v>0</v>
      </c>
    </row>
    <row r="113" spans="1:36">
      <c r="A113" t="s">
        <v>112</v>
      </c>
      <c r="B113" t="s">
        <v>313</v>
      </c>
      <c r="C113" s="2" t="s">
        <v>111</v>
      </c>
      <c r="D113" s="6" t="s">
        <v>46</v>
      </c>
      <c r="E113" s="38">
        <v>11000</v>
      </c>
      <c r="F113" s="38">
        <v>11000</v>
      </c>
      <c r="G113" s="38">
        <v>11000</v>
      </c>
      <c r="H113" s="38">
        <v>11000</v>
      </c>
      <c r="I113" s="39">
        <v>103.64</v>
      </c>
      <c r="J113" s="39">
        <v>103.64</v>
      </c>
      <c r="K113" s="39">
        <v>127.27</v>
      </c>
      <c r="L113" s="39">
        <v>127.27</v>
      </c>
      <c r="M113" s="38">
        <v>250</v>
      </c>
      <c r="N113" s="38">
        <v>250</v>
      </c>
      <c r="O113" s="38">
        <v>250</v>
      </c>
      <c r="P113" s="38">
        <v>250</v>
      </c>
      <c r="Q113" s="38">
        <v>115</v>
      </c>
      <c r="R113" s="38">
        <v>115</v>
      </c>
      <c r="S113" s="38">
        <v>115</v>
      </c>
      <c r="T113" s="38">
        <v>115</v>
      </c>
      <c r="U113" s="38">
        <v>115</v>
      </c>
      <c r="V113" s="38">
        <v>115</v>
      </c>
      <c r="W113" s="38">
        <v>115</v>
      </c>
      <c r="X113" s="38">
        <v>115</v>
      </c>
      <c r="Y113" s="38">
        <v>250</v>
      </c>
      <c r="Z113" s="38">
        <v>250</v>
      </c>
      <c r="AA113" s="38">
        <v>250</v>
      </c>
      <c r="AB113" s="38">
        <v>250</v>
      </c>
      <c r="AC113" s="38">
        <v>2</v>
      </c>
      <c r="AD113" s="38">
        <v>4</v>
      </c>
      <c r="AE113" s="38">
        <v>8</v>
      </c>
      <c r="AF113" s="38">
        <v>8</v>
      </c>
      <c r="AG113" s="38">
        <v>0</v>
      </c>
      <c r="AH113" s="38">
        <v>0</v>
      </c>
      <c r="AI113" s="38">
        <v>0</v>
      </c>
      <c r="AJ113" s="38">
        <v>0</v>
      </c>
    </row>
    <row r="114" spans="1:36">
      <c r="A114" t="s">
        <v>112</v>
      </c>
      <c r="B114" t="s">
        <v>313</v>
      </c>
      <c r="C114" s="2" t="s">
        <v>111</v>
      </c>
      <c r="D114" s="6" t="s">
        <v>46</v>
      </c>
      <c r="E114" s="38">
        <v>12000</v>
      </c>
      <c r="F114" s="38">
        <v>12000</v>
      </c>
      <c r="G114" s="38">
        <v>12000</v>
      </c>
      <c r="H114" s="38">
        <v>12000</v>
      </c>
      <c r="I114" s="39">
        <v>102.5</v>
      </c>
      <c r="J114" s="39">
        <v>102.5</v>
      </c>
      <c r="K114" s="39">
        <v>125</v>
      </c>
      <c r="L114" s="39">
        <v>125</v>
      </c>
      <c r="M114" s="38">
        <v>250</v>
      </c>
      <c r="N114" s="38">
        <v>250</v>
      </c>
      <c r="O114" s="38">
        <v>250</v>
      </c>
      <c r="P114" s="38">
        <v>250</v>
      </c>
      <c r="Q114" s="38">
        <v>115</v>
      </c>
      <c r="R114" s="38">
        <v>115</v>
      </c>
      <c r="S114" s="38">
        <v>115</v>
      </c>
      <c r="T114" s="38">
        <v>115</v>
      </c>
      <c r="U114" s="38">
        <v>115</v>
      </c>
      <c r="V114" s="38">
        <v>115</v>
      </c>
      <c r="W114" s="38">
        <v>115</v>
      </c>
      <c r="X114" s="38">
        <v>115</v>
      </c>
      <c r="Y114" s="38">
        <v>250</v>
      </c>
      <c r="Z114" s="38">
        <v>250</v>
      </c>
      <c r="AA114" s="38">
        <v>250</v>
      </c>
      <c r="AB114" s="38">
        <v>250</v>
      </c>
      <c r="AC114" s="38">
        <v>2</v>
      </c>
      <c r="AD114" s="38">
        <v>4</v>
      </c>
      <c r="AE114" s="38">
        <v>8</v>
      </c>
      <c r="AF114" s="38">
        <v>8</v>
      </c>
      <c r="AG114" s="38">
        <v>0</v>
      </c>
      <c r="AH114" s="38">
        <v>0</v>
      </c>
      <c r="AI114" s="38">
        <v>0</v>
      </c>
      <c r="AJ114" s="38">
        <v>0</v>
      </c>
    </row>
    <row r="115" spans="1:36">
      <c r="A115" t="s">
        <v>112</v>
      </c>
      <c r="B115" t="s">
        <v>313</v>
      </c>
      <c r="C115" s="2" t="s">
        <v>111</v>
      </c>
      <c r="D115" s="6" t="s">
        <v>46</v>
      </c>
      <c r="E115" s="38">
        <v>13000</v>
      </c>
      <c r="F115" s="38">
        <v>13000</v>
      </c>
      <c r="G115" s="38">
        <v>13000</v>
      </c>
      <c r="H115" s="38">
        <v>13000</v>
      </c>
      <c r="I115" s="39">
        <v>101.54</v>
      </c>
      <c r="J115" s="39">
        <v>101.54</v>
      </c>
      <c r="K115" s="39">
        <v>123.08</v>
      </c>
      <c r="L115" s="39">
        <v>123.08</v>
      </c>
      <c r="M115" s="38">
        <v>250</v>
      </c>
      <c r="N115" s="38">
        <v>250</v>
      </c>
      <c r="O115" s="38">
        <v>250</v>
      </c>
      <c r="P115" s="38">
        <v>250</v>
      </c>
      <c r="Q115" s="38">
        <v>115</v>
      </c>
      <c r="R115" s="38">
        <v>115</v>
      </c>
      <c r="S115" s="38">
        <v>115</v>
      </c>
      <c r="T115" s="38">
        <v>115</v>
      </c>
      <c r="U115" s="38">
        <v>115</v>
      </c>
      <c r="V115" s="38">
        <v>115</v>
      </c>
      <c r="W115" s="38">
        <v>115</v>
      </c>
      <c r="X115" s="38">
        <v>115</v>
      </c>
      <c r="Y115" s="38">
        <v>250</v>
      </c>
      <c r="Z115" s="38">
        <v>250</v>
      </c>
      <c r="AA115" s="38">
        <v>250</v>
      </c>
      <c r="AB115" s="38">
        <v>250</v>
      </c>
      <c r="AC115" s="38">
        <v>2</v>
      </c>
      <c r="AD115" s="38">
        <v>4</v>
      </c>
      <c r="AE115" s="38">
        <v>8</v>
      </c>
      <c r="AF115" s="38">
        <v>8</v>
      </c>
      <c r="AG115" s="38">
        <v>0</v>
      </c>
      <c r="AH115" s="38">
        <v>0</v>
      </c>
      <c r="AI115" s="38">
        <v>0</v>
      </c>
      <c r="AJ115" s="38">
        <v>0</v>
      </c>
    </row>
    <row r="116" spans="1:36">
      <c r="A116" t="s">
        <v>112</v>
      </c>
      <c r="B116" t="s">
        <v>313</v>
      </c>
      <c r="C116" s="2" t="s">
        <v>111</v>
      </c>
      <c r="D116" s="6" t="s">
        <v>46</v>
      </c>
      <c r="E116" s="38">
        <v>14000</v>
      </c>
      <c r="F116" s="38">
        <v>14000</v>
      </c>
      <c r="G116" s="38">
        <v>14000</v>
      </c>
      <c r="H116" s="38">
        <v>14000</v>
      </c>
      <c r="I116" s="39">
        <v>100.71</v>
      </c>
      <c r="J116" s="39">
        <v>100.71</v>
      </c>
      <c r="K116" s="39">
        <v>121.43</v>
      </c>
      <c r="L116" s="39">
        <v>121.43</v>
      </c>
      <c r="M116" s="38">
        <v>250</v>
      </c>
      <c r="N116" s="38">
        <v>250</v>
      </c>
      <c r="O116" s="38">
        <v>250</v>
      </c>
      <c r="P116" s="38">
        <v>250</v>
      </c>
      <c r="Q116" s="38">
        <v>115</v>
      </c>
      <c r="R116" s="38">
        <v>115</v>
      </c>
      <c r="S116" s="38">
        <v>115</v>
      </c>
      <c r="T116" s="38">
        <v>115</v>
      </c>
      <c r="U116" s="38">
        <v>115</v>
      </c>
      <c r="V116" s="38">
        <v>115</v>
      </c>
      <c r="W116" s="38">
        <v>115</v>
      </c>
      <c r="X116" s="38">
        <v>115</v>
      </c>
      <c r="Y116" s="38">
        <v>250</v>
      </c>
      <c r="Z116" s="38">
        <v>250</v>
      </c>
      <c r="AA116" s="38">
        <v>250</v>
      </c>
      <c r="AB116" s="38">
        <v>250</v>
      </c>
      <c r="AC116" s="38">
        <v>2</v>
      </c>
      <c r="AD116" s="38">
        <v>4</v>
      </c>
      <c r="AE116" s="38">
        <v>8</v>
      </c>
      <c r="AF116" s="38">
        <v>8</v>
      </c>
      <c r="AG116" s="38">
        <v>0</v>
      </c>
      <c r="AH116" s="38">
        <v>0</v>
      </c>
      <c r="AI116" s="38">
        <v>0</v>
      </c>
      <c r="AJ116" s="38">
        <v>0</v>
      </c>
    </row>
    <row r="117" spans="1:36">
      <c r="A117" t="s">
        <v>112</v>
      </c>
      <c r="B117" t="s">
        <v>313</v>
      </c>
      <c r="C117" s="2" t="s">
        <v>111</v>
      </c>
      <c r="D117" s="6" t="s">
        <v>46</v>
      </c>
      <c r="E117" s="38">
        <v>15000</v>
      </c>
      <c r="F117" s="38">
        <v>15000</v>
      </c>
      <c r="G117" s="38">
        <v>15000</v>
      </c>
      <c r="H117" s="38">
        <v>15000</v>
      </c>
      <c r="I117" s="39">
        <v>100</v>
      </c>
      <c r="J117" s="39">
        <v>100</v>
      </c>
      <c r="K117" s="39">
        <v>120</v>
      </c>
      <c r="L117" s="39">
        <v>120</v>
      </c>
      <c r="M117" s="38">
        <v>250</v>
      </c>
      <c r="N117" s="38">
        <v>250</v>
      </c>
      <c r="O117" s="38">
        <v>250</v>
      </c>
      <c r="P117" s="38">
        <v>250</v>
      </c>
      <c r="Q117" s="38">
        <v>115</v>
      </c>
      <c r="R117" s="38">
        <v>115</v>
      </c>
      <c r="S117" s="38">
        <v>115</v>
      </c>
      <c r="T117" s="38">
        <v>115</v>
      </c>
      <c r="U117" s="38">
        <v>115</v>
      </c>
      <c r="V117" s="38">
        <v>115</v>
      </c>
      <c r="W117" s="38">
        <v>115</v>
      </c>
      <c r="X117" s="38">
        <v>115</v>
      </c>
      <c r="Y117" s="38">
        <v>250</v>
      </c>
      <c r="Z117" s="38">
        <v>250</v>
      </c>
      <c r="AA117" s="38">
        <v>250</v>
      </c>
      <c r="AB117" s="38">
        <v>250</v>
      </c>
      <c r="AC117" s="38">
        <v>2</v>
      </c>
      <c r="AD117" s="38">
        <v>4</v>
      </c>
      <c r="AE117" s="38">
        <v>8</v>
      </c>
      <c r="AF117" s="38">
        <v>8</v>
      </c>
      <c r="AG117" s="38">
        <v>0</v>
      </c>
      <c r="AH117" s="38">
        <v>0</v>
      </c>
      <c r="AI117" s="38">
        <v>0</v>
      </c>
      <c r="AJ117" s="38">
        <v>0</v>
      </c>
    </row>
    <row r="118" spans="1:36">
      <c r="A118" t="s">
        <v>112</v>
      </c>
      <c r="B118" t="s">
        <v>313</v>
      </c>
      <c r="C118" s="2" t="s">
        <v>111</v>
      </c>
      <c r="D118" s="6" t="s">
        <v>46</v>
      </c>
      <c r="E118" s="38">
        <v>16000</v>
      </c>
      <c r="F118" s="38">
        <v>16000</v>
      </c>
      <c r="G118" s="38">
        <v>16000</v>
      </c>
      <c r="H118" s="38">
        <v>16000</v>
      </c>
      <c r="I118" s="39">
        <v>99.38</v>
      </c>
      <c r="J118" s="39">
        <v>99.38</v>
      </c>
      <c r="K118" s="39">
        <v>118.75</v>
      </c>
      <c r="L118" s="39">
        <v>118.75</v>
      </c>
      <c r="M118" s="38">
        <v>250</v>
      </c>
      <c r="N118" s="38">
        <v>250</v>
      </c>
      <c r="O118" s="38">
        <v>250</v>
      </c>
      <c r="P118" s="38">
        <v>250</v>
      </c>
      <c r="Q118" s="38">
        <v>115</v>
      </c>
      <c r="R118" s="38">
        <v>115</v>
      </c>
      <c r="S118" s="38">
        <v>115</v>
      </c>
      <c r="T118" s="38">
        <v>115</v>
      </c>
      <c r="U118" s="38">
        <v>115</v>
      </c>
      <c r="V118" s="38">
        <v>115</v>
      </c>
      <c r="W118" s="38">
        <v>115</v>
      </c>
      <c r="X118" s="38">
        <v>115</v>
      </c>
      <c r="Y118" s="38">
        <v>250</v>
      </c>
      <c r="Z118" s="38">
        <v>250</v>
      </c>
      <c r="AA118" s="38">
        <v>250</v>
      </c>
      <c r="AB118" s="38">
        <v>250</v>
      </c>
      <c r="AC118" s="38">
        <v>2</v>
      </c>
      <c r="AD118" s="38">
        <v>4</v>
      </c>
      <c r="AE118" s="38">
        <v>8</v>
      </c>
      <c r="AF118" s="38">
        <v>8</v>
      </c>
      <c r="AG118" s="38">
        <v>0</v>
      </c>
      <c r="AH118" s="38">
        <v>0</v>
      </c>
      <c r="AI118" s="38">
        <v>0</v>
      </c>
      <c r="AJ118" s="38">
        <v>0</v>
      </c>
    </row>
    <row r="119" spans="1:36">
      <c r="A119" t="s">
        <v>112</v>
      </c>
      <c r="B119" t="s">
        <v>313</v>
      </c>
      <c r="C119" s="2" t="s">
        <v>111</v>
      </c>
      <c r="D119" s="6" t="s">
        <v>46</v>
      </c>
      <c r="E119" s="38">
        <v>17000</v>
      </c>
      <c r="F119" s="38">
        <v>17000</v>
      </c>
      <c r="G119" s="38">
        <v>17000</v>
      </c>
      <c r="H119" s="38">
        <v>17000</v>
      </c>
      <c r="I119" s="39">
        <v>98.82</v>
      </c>
      <c r="J119" s="39">
        <v>98.82</v>
      </c>
      <c r="K119" s="39">
        <v>117.65</v>
      </c>
      <c r="L119" s="39">
        <v>117.65</v>
      </c>
      <c r="M119" s="38">
        <v>250</v>
      </c>
      <c r="N119" s="38">
        <v>250</v>
      </c>
      <c r="O119" s="38">
        <v>250</v>
      </c>
      <c r="P119" s="38">
        <v>250</v>
      </c>
      <c r="Q119" s="38">
        <v>115</v>
      </c>
      <c r="R119" s="38">
        <v>115</v>
      </c>
      <c r="S119" s="38">
        <v>115</v>
      </c>
      <c r="T119" s="38">
        <v>115</v>
      </c>
      <c r="U119" s="38">
        <v>115</v>
      </c>
      <c r="V119" s="38">
        <v>115</v>
      </c>
      <c r="W119" s="38">
        <v>115</v>
      </c>
      <c r="X119" s="38">
        <v>115</v>
      </c>
      <c r="Y119" s="38">
        <v>250</v>
      </c>
      <c r="Z119" s="38">
        <v>250</v>
      </c>
      <c r="AA119" s="38">
        <v>250</v>
      </c>
      <c r="AB119" s="38">
        <v>250</v>
      </c>
      <c r="AC119" s="38">
        <v>2</v>
      </c>
      <c r="AD119" s="38">
        <v>4</v>
      </c>
      <c r="AE119" s="38">
        <v>8</v>
      </c>
      <c r="AF119" s="38">
        <v>8</v>
      </c>
      <c r="AG119" s="38">
        <v>0</v>
      </c>
      <c r="AH119" s="38">
        <v>0</v>
      </c>
      <c r="AI119" s="38">
        <v>0</v>
      </c>
      <c r="AJ119" s="38">
        <v>0</v>
      </c>
    </row>
    <row r="120" spans="1:36">
      <c r="A120" t="s">
        <v>112</v>
      </c>
      <c r="B120" t="s">
        <v>313</v>
      </c>
      <c r="C120" s="2" t="s">
        <v>111</v>
      </c>
      <c r="D120" s="6" t="s">
        <v>46</v>
      </c>
      <c r="E120" s="38">
        <v>18000</v>
      </c>
      <c r="F120" s="38">
        <v>18000</v>
      </c>
      <c r="G120" s="38">
        <v>18000</v>
      </c>
      <c r="H120" s="38">
        <v>18000</v>
      </c>
      <c r="I120" s="39">
        <v>98.33</v>
      </c>
      <c r="J120" s="39">
        <v>98.33</v>
      </c>
      <c r="K120" s="39">
        <v>116.67</v>
      </c>
      <c r="L120" s="39">
        <v>116.67</v>
      </c>
      <c r="M120" s="38">
        <v>250</v>
      </c>
      <c r="N120" s="38">
        <v>250</v>
      </c>
      <c r="O120" s="38">
        <v>250</v>
      </c>
      <c r="P120" s="38">
        <v>250</v>
      </c>
      <c r="Q120" s="38">
        <v>115</v>
      </c>
      <c r="R120" s="38">
        <v>115</v>
      </c>
      <c r="S120" s="38">
        <v>115</v>
      </c>
      <c r="T120" s="38">
        <v>115</v>
      </c>
      <c r="U120" s="38">
        <v>115</v>
      </c>
      <c r="V120" s="38">
        <v>115</v>
      </c>
      <c r="W120" s="38">
        <v>115</v>
      </c>
      <c r="X120" s="38">
        <v>115</v>
      </c>
      <c r="Y120" s="38">
        <v>250</v>
      </c>
      <c r="Z120" s="38">
        <v>250</v>
      </c>
      <c r="AA120" s="38">
        <v>250</v>
      </c>
      <c r="AB120" s="38">
        <v>250</v>
      </c>
      <c r="AC120" s="38">
        <v>2</v>
      </c>
      <c r="AD120" s="38">
        <v>4</v>
      </c>
      <c r="AE120" s="38">
        <v>8</v>
      </c>
      <c r="AF120" s="38">
        <v>8</v>
      </c>
      <c r="AG120" s="38">
        <v>0</v>
      </c>
      <c r="AH120" s="38">
        <v>0</v>
      </c>
      <c r="AI120" s="38">
        <v>0</v>
      </c>
      <c r="AJ120" s="38">
        <v>0</v>
      </c>
    </row>
    <row r="121" spans="1:36">
      <c r="A121" t="s">
        <v>112</v>
      </c>
      <c r="B121" t="s">
        <v>313</v>
      </c>
      <c r="C121" s="2" t="s">
        <v>111</v>
      </c>
      <c r="D121" s="6" t="s">
        <v>46</v>
      </c>
      <c r="E121" s="38">
        <v>19000</v>
      </c>
      <c r="F121" s="38">
        <v>19000</v>
      </c>
      <c r="G121" s="38">
        <v>19000</v>
      </c>
      <c r="H121" s="38">
        <v>19000</v>
      </c>
      <c r="I121" s="39">
        <v>97.89</v>
      </c>
      <c r="J121" s="39">
        <v>97.89</v>
      </c>
      <c r="K121" s="39">
        <v>115.79</v>
      </c>
      <c r="L121" s="39">
        <v>115.79</v>
      </c>
      <c r="M121" s="38">
        <v>250</v>
      </c>
      <c r="N121" s="38">
        <v>250</v>
      </c>
      <c r="O121" s="38">
        <v>250</v>
      </c>
      <c r="P121" s="38">
        <v>250</v>
      </c>
      <c r="Q121" s="38">
        <v>115</v>
      </c>
      <c r="R121" s="38">
        <v>115</v>
      </c>
      <c r="S121" s="38">
        <v>115</v>
      </c>
      <c r="T121" s="38">
        <v>115</v>
      </c>
      <c r="U121" s="38">
        <v>115</v>
      </c>
      <c r="V121" s="38">
        <v>115</v>
      </c>
      <c r="W121" s="38">
        <v>115</v>
      </c>
      <c r="X121" s="38">
        <v>115</v>
      </c>
      <c r="Y121" s="38">
        <v>250</v>
      </c>
      <c r="Z121" s="38">
        <v>250</v>
      </c>
      <c r="AA121" s="38">
        <v>250</v>
      </c>
      <c r="AB121" s="38">
        <v>250</v>
      </c>
      <c r="AC121" s="38">
        <v>2</v>
      </c>
      <c r="AD121" s="38">
        <v>4</v>
      </c>
      <c r="AE121" s="38">
        <v>8</v>
      </c>
      <c r="AF121" s="38">
        <v>8</v>
      </c>
      <c r="AG121" s="38">
        <v>0</v>
      </c>
      <c r="AH121" s="38">
        <v>0</v>
      </c>
      <c r="AI121" s="38">
        <v>0</v>
      </c>
      <c r="AJ121" s="38">
        <v>0</v>
      </c>
    </row>
    <row r="122" spans="1:36">
      <c r="A122" t="s">
        <v>112</v>
      </c>
      <c r="B122" t="s">
        <v>313</v>
      </c>
      <c r="C122" s="2" t="s">
        <v>111</v>
      </c>
      <c r="D122" s="6" t="s">
        <v>46</v>
      </c>
      <c r="E122" s="38">
        <v>20000</v>
      </c>
      <c r="F122" s="38">
        <v>20000</v>
      </c>
      <c r="G122" s="38">
        <v>20000</v>
      </c>
      <c r="H122" s="38">
        <v>20000</v>
      </c>
      <c r="I122" s="39">
        <v>97.5</v>
      </c>
      <c r="J122" s="39">
        <v>97.5</v>
      </c>
      <c r="K122" s="39">
        <v>115</v>
      </c>
      <c r="L122" s="39">
        <v>115</v>
      </c>
      <c r="M122" s="38">
        <v>250</v>
      </c>
      <c r="N122" s="38">
        <v>250</v>
      </c>
      <c r="O122" s="38">
        <v>250</v>
      </c>
      <c r="P122" s="38">
        <v>250</v>
      </c>
      <c r="Q122" s="38">
        <v>115</v>
      </c>
      <c r="R122" s="38">
        <v>115</v>
      </c>
      <c r="S122" s="38">
        <v>115</v>
      </c>
      <c r="T122" s="38">
        <v>115</v>
      </c>
      <c r="U122" s="38">
        <v>115</v>
      </c>
      <c r="V122" s="38">
        <v>115</v>
      </c>
      <c r="W122" s="38">
        <v>115</v>
      </c>
      <c r="X122" s="38">
        <v>115</v>
      </c>
      <c r="Y122" s="38">
        <v>250</v>
      </c>
      <c r="Z122" s="38">
        <v>250</v>
      </c>
      <c r="AA122" s="38">
        <v>250</v>
      </c>
      <c r="AB122" s="38">
        <v>250</v>
      </c>
      <c r="AC122" s="38">
        <v>2</v>
      </c>
      <c r="AD122" s="38">
        <v>4</v>
      </c>
      <c r="AE122" s="38">
        <v>8</v>
      </c>
      <c r="AF122" s="38">
        <v>8</v>
      </c>
      <c r="AG122" s="38">
        <v>0</v>
      </c>
      <c r="AH122" s="38">
        <v>0</v>
      </c>
      <c r="AI122" s="38">
        <v>0</v>
      </c>
      <c r="AJ122" s="38">
        <v>0</v>
      </c>
    </row>
    <row r="123" spans="1:36">
      <c r="A123" t="s">
        <v>112</v>
      </c>
      <c r="B123" t="s">
        <v>313</v>
      </c>
      <c r="C123" s="2" t="s">
        <v>111</v>
      </c>
      <c r="D123" s="6" t="s">
        <v>46</v>
      </c>
      <c r="E123" s="38">
        <v>21000</v>
      </c>
      <c r="F123" s="38">
        <v>21000</v>
      </c>
      <c r="G123" s="38">
        <v>21000</v>
      </c>
      <c r="H123" s="38">
        <v>21000</v>
      </c>
      <c r="I123" s="39">
        <v>97.14</v>
      </c>
      <c r="J123" s="39">
        <v>97.14</v>
      </c>
      <c r="K123" s="39">
        <v>114.29</v>
      </c>
      <c r="L123" s="39">
        <v>114.29</v>
      </c>
      <c r="M123" s="38">
        <v>250</v>
      </c>
      <c r="N123" s="38">
        <v>250</v>
      </c>
      <c r="O123" s="38">
        <v>250</v>
      </c>
      <c r="P123" s="38">
        <v>250</v>
      </c>
      <c r="Q123" s="38">
        <v>115</v>
      </c>
      <c r="R123" s="38">
        <v>115</v>
      </c>
      <c r="S123" s="38">
        <v>115</v>
      </c>
      <c r="T123" s="38">
        <v>115</v>
      </c>
      <c r="U123" s="38">
        <v>115</v>
      </c>
      <c r="V123" s="38">
        <v>115</v>
      </c>
      <c r="W123" s="38">
        <v>115</v>
      </c>
      <c r="X123" s="38">
        <v>115</v>
      </c>
      <c r="Y123" s="38">
        <v>250</v>
      </c>
      <c r="Z123" s="38">
        <v>250</v>
      </c>
      <c r="AA123" s="38">
        <v>250</v>
      </c>
      <c r="AB123" s="38">
        <v>250</v>
      </c>
      <c r="AC123" s="38">
        <v>2</v>
      </c>
      <c r="AD123" s="38">
        <v>4</v>
      </c>
      <c r="AE123" s="38">
        <v>8</v>
      </c>
      <c r="AF123" s="38">
        <v>8</v>
      </c>
      <c r="AG123" s="38">
        <v>0</v>
      </c>
      <c r="AH123" s="38">
        <v>0</v>
      </c>
      <c r="AI123" s="38">
        <v>0</v>
      </c>
      <c r="AJ123" s="38">
        <v>0</v>
      </c>
    </row>
    <row r="124" spans="1:36">
      <c r="A124" t="s">
        <v>112</v>
      </c>
      <c r="B124" t="s">
        <v>313</v>
      </c>
      <c r="C124" s="2" t="s">
        <v>111</v>
      </c>
      <c r="D124" s="6" t="s">
        <v>46</v>
      </c>
      <c r="E124" s="38">
        <v>22000</v>
      </c>
      <c r="F124" s="38">
        <v>22000</v>
      </c>
      <c r="G124" s="38">
        <v>22000</v>
      </c>
      <c r="H124" s="38">
        <v>22000</v>
      </c>
      <c r="I124" s="39">
        <v>96.82</v>
      </c>
      <c r="J124" s="39">
        <v>96.82</v>
      </c>
      <c r="K124" s="39">
        <v>113.64</v>
      </c>
      <c r="L124" s="39">
        <v>113.64</v>
      </c>
      <c r="M124" s="38">
        <v>250</v>
      </c>
      <c r="N124" s="38">
        <v>250</v>
      </c>
      <c r="O124" s="38">
        <v>250</v>
      </c>
      <c r="P124" s="38">
        <v>250</v>
      </c>
      <c r="Q124" s="38">
        <v>115</v>
      </c>
      <c r="R124" s="38">
        <v>115</v>
      </c>
      <c r="S124" s="38">
        <v>115</v>
      </c>
      <c r="T124" s="38">
        <v>115</v>
      </c>
      <c r="U124" s="38">
        <v>115</v>
      </c>
      <c r="V124" s="38">
        <v>115</v>
      </c>
      <c r="W124" s="38">
        <v>115</v>
      </c>
      <c r="X124" s="38">
        <v>115</v>
      </c>
      <c r="Y124" s="38">
        <v>250</v>
      </c>
      <c r="Z124" s="38">
        <v>250</v>
      </c>
      <c r="AA124" s="38">
        <v>250</v>
      </c>
      <c r="AB124" s="38">
        <v>250</v>
      </c>
      <c r="AC124" s="38">
        <v>2</v>
      </c>
      <c r="AD124" s="38">
        <v>4</v>
      </c>
      <c r="AE124" s="38">
        <v>8</v>
      </c>
      <c r="AF124" s="38">
        <v>8</v>
      </c>
      <c r="AG124" s="38">
        <v>0</v>
      </c>
      <c r="AH124" s="38">
        <v>0</v>
      </c>
      <c r="AI124" s="38">
        <v>0</v>
      </c>
      <c r="AJ124" s="38">
        <v>0</v>
      </c>
    </row>
    <row r="125" spans="1:36">
      <c r="A125" t="s">
        <v>112</v>
      </c>
      <c r="B125" t="s">
        <v>313</v>
      </c>
      <c r="C125" s="2" t="s">
        <v>111</v>
      </c>
      <c r="D125" s="6" t="s">
        <v>46</v>
      </c>
      <c r="E125" s="38">
        <v>23000</v>
      </c>
      <c r="F125" s="38">
        <v>23000</v>
      </c>
      <c r="G125" s="38">
        <v>23000</v>
      </c>
      <c r="H125" s="38">
        <v>23000</v>
      </c>
      <c r="I125" s="39">
        <v>96.52</v>
      </c>
      <c r="J125" s="39">
        <v>96.52</v>
      </c>
      <c r="K125" s="39">
        <v>113.04</v>
      </c>
      <c r="L125" s="39">
        <v>113.04</v>
      </c>
      <c r="M125" s="38">
        <v>250</v>
      </c>
      <c r="N125" s="38">
        <v>250</v>
      </c>
      <c r="O125" s="38">
        <v>250</v>
      </c>
      <c r="P125" s="38">
        <v>250</v>
      </c>
      <c r="Q125" s="38">
        <v>115</v>
      </c>
      <c r="R125" s="38">
        <v>115</v>
      </c>
      <c r="S125" s="38">
        <v>115</v>
      </c>
      <c r="T125" s="38">
        <v>115</v>
      </c>
      <c r="U125" s="38">
        <v>115</v>
      </c>
      <c r="V125" s="38">
        <v>115</v>
      </c>
      <c r="W125" s="38">
        <v>115</v>
      </c>
      <c r="X125" s="38">
        <v>115</v>
      </c>
      <c r="Y125" s="38">
        <v>250</v>
      </c>
      <c r="Z125" s="38">
        <v>250</v>
      </c>
      <c r="AA125" s="38">
        <v>250</v>
      </c>
      <c r="AB125" s="38">
        <v>250</v>
      </c>
      <c r="AC125" s="38">
        <v>2</v>
      </c>
      <c r="AD125" s="38">
        <v>4</v>
      </c>
      <c r="AE125" s="38">
        <v>8</v>
      </c>
      <c r="AF125" s="38">
        <v>8</v>
      </c>
      <c r="AG125" s="38">
        <v>0</v>
      </c>
      <c r="AH125" s="38">
        <v>0</v>
      </c>
      <c r="AI125" s="38">
        <v>0</v>
      </c>
      <c r="AJ125" s="38">
        <v>0</v>
      </c>
    </row>
    <row r="126" spans="1:36">
      <c r="A126" t="s">
        <v>112</v>
      </c>
      <c r="B126" t="s">
        <v>313</v>
      </c>
      <c r="C126" s="2" t="s">
        <v>111</v>
      </c>
      <c r="D126" s="6" t="s">
        <v>46</v>
      </c>
      <c r="E126" s="38">
        <v>24000</v>
      </c>
      <c r="F126" s="38">
        <v>24000</v>
      </c>
      <c r="G126" s="38">
        <v>24000</v>
      </c>
      <c r="H126" s="38">
        <v>24000</v>
      </c>
      <c r="I126" s="39">
        <v>96.25</v>
      </c>
      <c r="J126" s="39">
        <v>96.25</v>
      </c>
      <c r="K126" s="39">
        <v>112.5</v>
      </c>
      <c r="L126" s="39">
        <v>112.5</v>
      </c>
      <c r="M126" s="38">
        <v>250</v>
      </c>
      <c r="N126" s="38">
        <v>250</v>
      </c>
      <c r="O126" s="38">
        <v>250</v>
      </c>
      <c r="P126" s="38">
        <v>250</v>
      </c>
      <c r="Q126" s="38">
        <v>115</v>
      </c>
      <c r="R126" s="38">
        <v>115</v>
      </c>
      <c r="S126" s="38">
        <v>115</v>
      </c>
      <c r="T126" s="38">
        <v>115</v>
      </c>
      <c r="U126" s="38">
        <v>115</v>
      </c>
      <c r="V126" s="38">
        <v>115</v>
      </c>
      <c r="W126" s="38">
        <v>115</v>
      </c>
      <c r="X126" s="38">
        <v>115</v>
      </c>
      <c r="Y126" s="38">
        <v>250</v>
      </c>
      <c r="Z126" s="38">
        <v>250</v>
      </c>
      <c r="AA126" s="38">
        <v>250</v>
      </c>
      <c r="AB126" s="38">
        <v>250</v>
      </c>
      <c r="AC126" s="38">
        <v>2</v>
      </c>
      <c r="AD126" s="38">
        <v>4</v>
      </c>
      <c r="AE126" s="38">
        <v>8</v>
      </c>
      <c r="AF126" s="38">
        <v>8</v>
      </c>
      <c r="AG126" s="38">
        <v>0</v>
      </c>
      <c r="AH126" s="38">
        <v>0</v>
      </c>
      <c r="AI126" s="38">
        <v>0</v>
      </c>
      <c r="AJ126" s="38">
        <v>0</v>
      </c>
    </row>
    <row r="127" spans="1:36">
      <c r="A127" t="s">
        <v>112</v>
      </c>
      <c r="B127" t="s">
        <v>313</v>
      </c>
      <c r="C127" s="2" t="s">
        <v>111</v>
      </c>
      <c r="D127" s="6" t="s">
        <v>46</v>
      </c>
      <c r="E127" s="38">
        <v>25000</v>
      </c>
      <c r="F127" s="38">
        <v>25000</v>
      </c>
      <c r="G127" s="38">
        <v>25000</v>
      </c>
      <c r="H127" s="38">
        <v>25000</v>
      </c>
      <c r="I127" s="39">
        <v>96</v>
      </c>
      <c r="J127" s="39">
        <v>96</v>
      </c>
      <c r="K127" s="39">
        <v>112</v>
      </c>
      <c r="L127" s="39">
        <v>112</v>
      </c>
      <c r="M127" s="38">
        <v>250</v>
      </c>
      <c r="N127" s="38">
        <v>250</v>
      </c>
      <c r="O127" s="38">
        <v>250</v>
      </c>
      <c r="P127" s="38">
        <v>250</v>
      </c>
      <c r="Q127" s="38">
        <v>115</v>
      </c>
      <c r="R127" s="38">
        <v>115</v>
      </c>
      <c r="S127" s="38">
        <v>115</v>
      </c>
      <c r="T127" s="38">
        <v>115</v>
      </c>
      <c r="U127" s="38">
        <v>115</v>
      </c>
      <c r="V127" s="38">
        <v>115</v>
      </c>
      <c r="W127" s="38">
        <v>115</v>
      </c>
      <c r="X127" s="38">
        <v>115</v>
      </c>
      <c r="Y127" s="38">
        <v>250</v>
      </c>
      <c r="Z127" s="38">
        <v>250</v>
      </c>
      <c r="AA127" s="38">
        <v>250</v>
      </c>
      <c r="AB127" s="38">
        <v>250</v>
      </c>
      <c r="AC127" s="38">
        <v>2</v>
      </c>
      <c r="AD127" s="38">
        <v>4</v>
      </c>
      <c r="AE127" s="38">
        <v>8</v>
      </c>
      <c r="AF127" s="38">
        <v>8</v>
      </c>
      <c r="AG127" s="38">
        <v>0</v>
      </c>
      <c r="AH127" s="38">
        <v>0</v>
      </c>
      <c r="AI127" s="38">
        <v>0</v>
      </c>
      <c r="AJ127" s="38">
        <v>0</v>
      </c>
    </row>
    <row r="128" spans="1:36">
      <c r="A128" t="s">
        <v>112</v>
      </c>
      <c r="B128" t="s">
        <v>313</v>
      </c>
      <c r="C128" s="2" t="s">
        <v>111</v>
      </c>
      <c r="D128" s="6" t="s">
        <v>46</v>
      </c>
      <c r="E128" s="38">
        <v>26000</v>
      </c>
      <c r="F128" s="38">
        <v>26000</v>
      </c>
      <c r="G128" s="38">
        <v>26000</v>
      </c>
      <c r="H128" s="38">
        <v>26000</v>
      </c>
      <c r="I128" s="39">
        <v>95.77</v>
      </c>
      <c r="J128" s="39">
        <v>95.77</v>
      </c>
      <c r="K128" s="39">
        <v>111.54</v>
      </c>
      <c r="L128" s="39">
        <v>111.54</v>
      </c>
      <c r="M128" s="38">
        <v>250</v>
      </c>
      <c r="N128" s="38">
        <v>250</v>
      </c>
      <c r="O128" s="38">
        <v>250</v>
      </c>
      <c r="P128" s="38">
        <v>250</v>
      </c>
      <c r="Q128" s="38">
        <v>115</v>
      </c>
      <c r="R128" s="38">
        <v>115</v>
      </c>
      <c r="S128" s="38">
        <v>115</v>
      </c>
      <c r="T128" s="38">
        <v>115</v>
      </c>
      <c r="U128" s="38">
        <v>115</v>
      </c>
      <c r="V128" s="38">
        <v>115</v>
      </c>
      <c r="W128" s="38">
        <v>115</v>
      </c>
      <c r="X128" s="38">
        <v>115</v>
      </c>
      <c r="Y128" s="38">
        <v>250</v>
      </c>
      <c r="Z128" s="38">
        <v>250</v>
      </c>
      <c r="AA128" s="38">
        <v>250</v>
      </c>
      <c r="AB128" s="38">
        <v>250</v>
      </c>
      <c r="AC128" s="38">
        <v>2</v>
      </c>
      <c r="AD128" s="38">
        <v>4</v>
      </c>
      <c r="AE128" s="38">
        <v>8</v>
      </c>
      <c r="AF128" s="38">
        <v>8</v>
      </c>
      <c r="AG128" s="38">
        <v>0</v>
      </c>
      <c r="AH128" s="38">
        <v>0</v>
      </c>
      <c r="AI128" s="38">
        <v>0</v>
      </c>
      <c r="AJ128" s="38">
        <v>0</v>
      </c>
    </row>
    <row r="129" spans="1:36">
      <c r="A129" t="s">
        <v>112</v>
      </c>
      <c r="B129" t="s">
        <v>313</v>
      </c>
      <c r="C129" s="2" t="s">
        <v>111</v>
      </c>
      <c r="D129" s="6" t="s">
        <v>46</v>
      </c>
      <c r="E129" s="38">
        <v>27000</v>
      </c>
      <c r="F129" s="38">
        <v>27000</v>
      </c>
      <c r="G129" s="38">
        <v>27000</v>
      </c>
      <c r="H129" s="38">
        <v>27000</v>
      </c>
      <c r="I129" s="39">
        <v>95.56</v>
      </c>
      <c r="J129" s="39">
        <v>95.56</v>
      </c>
      <c r="K129" s="39">
        <v>111.11</v>
      </c>
      <c r="L129" s="39">
        <v>111.11</v>
      </c>
      <c r="M129" s="38">
        <v>250</v>
      </c>
      <c r="N129" s="38">
        <v>250</v>
      </c>
      <c r="O129" s="38">
        <v>250</v>
      </c>
      <c r="P129" s="38">
        <v>250</v>
      </c>
      <c r="Q129" s="38">
        <v>115</v>
      </c>
      <c r="R129" s="38">
        <v>115</v>
      </c>
      <c r="S129" s="38">
        <v>115</v>
      </c>
      <c r="T129" s="38">
        <v>115</v>
      </c>
      <c r="U129" s="38">
        <v>115</v>
      </c>
      <c r="V129" s="38">
        <v>115</v>
      </c>
      <c r="W129" s="38">
        <v>115</v>
      </c>
      <c r="X129" s="38">
        <v>115</v>
      </c>
      <c r="Y129" s="38">
        <v>250</v>
      </c>
      <c r="Z129" s="38">
        <v>250</v>
      </c>
      <c r="AA129" s="38">
        <v>250</v>
      </c>
      <c r="AB129" s="38">
        <v>250</v>
      </c>
      <c r="AC129" s="38">
        <v>2</v>
      </c>
      <c r="AD129" s="38">
        <v>4</v>
      </c>
      <c r="AE129" s="38">
        <v>8</v>
      </c>
      <c r="AF129" s="38">
        <v>8</v>
      </c>
      <c r="AG129" s="38">
        <v>0</v>
      </c>
      <c r="AH129" s="38">
        <v>0</v>
      </c>
      <c r="AI129" s="38">
        <v>0</v>
      </c>
      <c r="AJ129" s="38">
        <v>0</v>
      </c>
    </row>
    <row r="130" spans="1:36">
      <c r="A130" t="s">
        <v>112</v>
      </c>
      <c r="B130" t="s">
        <v>313</v>
      </c>
      <c r="C130" s="2" t="s">
        <v>111</v>
      </c>
      <c r="D130" s="6" t="s">
        <v>46</v>
      </c>
      <c r="E130" s="38">
        <v>28000</v>
      </c>
      <c r="F130" s="38">
        <v>28000</v>
      </c>
      <c r="G130" s="38">
        <v>28000</v>
      </c>
      <c r="H130" s="38">
        <v>28000</v>
      </c>
      <c r="I130" s="39">
        <v>95.36</v>
      </c>
      <c r="J130" s="39">
        <v>95.36</v>
      </c>
      <c r="K130" s="39">
        <v>110.71</v>
      </c>
      <c r="L130" s="39">
        <v>110.71</v>
      </c>
      <c r="M130" s="38">
        <v>250</v>
      </c>
      <c r="N130" s="38">
        <v>250</v>
      </c>
      <c r="O130" s="38">
        <v>250</v>
      </c>
      <c r="P130" s="38">
        <v>250</v>
      </c>
      <c r="Q130" s="38">
        <v>115</v>
      </c>
      <c r="R130" s="38">
        <v>115</v>
      </c>
      <c r="S130" s="38">
        <v>115</v>
      </c>
      <c r="T130" s="38">
        <v>115</v>
      </c>
      <c r="U130" s="38">
        <v>115</v>
      </c>
      <c r="V130" s="38">
        <v>115</v>
      </c>
      <c r="W130" s="38">
        <v>115</v>
      </c>
      <c r="X130" s="38">
        <v>115</v>
      </c>
      <c r="Y130" s="38">
        <v>250</v>
      </c>
      <c r="Z130" s="38">
        <v>250</v>
      </c>
      <c r="AA130" s="38">
        <v>250</v>
      </c>
      <c r="AB130" s="38">
        <v>250</v>
      </c>
      <c r="AC130" s="38">
        <v>2</v>
      </c>
      <c r="AD130" s="38">
        <v>4</v>
      </c>
      <c r="AE130" s="38">
        <v>8</v>
      </c>
      <c r="AF130" s="38">
        <v>8</v>
      </c>
      <c r="AG130" s="38">
        <v>0</v>
      </c>
      <c r="AH130" s="38">
        <v>0</v>
      </c>
      <c r="AI130" s="38">
        <v>0</v>
      </c>
      <c r="AJ130" s="38">
        <v>0</v>
      </c>
    </row>
    <row r="131" spans="1:36">
      <c r="A131" t="s">
        <v>112</v>
      </c>
      <c r="B131" t="s">
        <v>313</v>
      </c>
      <c r="C131" s="2" t="s">
        <v>111</v>
      </c>
      <c r="D131" s="6" t="s">
        <v>46</v>
      </c>
      <c r="E131" s="38">
        <v>29000</v>
      </c>
      <c r="F131" s="38">
        <v>29000</v>
      </c>
      <c r="G131" s="38">
        <v>29000</v>
      </c>
      <c r="H131" s="38">
        <v>29000</v>
      </c>
      <c r="I131" s="39">
        <v>95.17</v>
      </c>
      <c r="J131" s="39">
        <v>95.17</v>
      </c>
      <c r="K131" s="39">
        <v>110.34</v>
      </c>
      <c r="L131" s="39">
        <v>110.34</v>
      </c>
      <c r="M131" s="38">
        <v>250</v>
      </c>
      <c r="N131" s="38">
        <v>250</v>
      </c>
      <c r="O131" s="38">
        <v>250</v>
      </c>
      <c r="P131" s="38">
        <v>250</v>
      </c>
      <c r="Q131" s="38">
        <v>115</v>
      </c>
      <c r="R131" s="38">
        <v>115</v>
      </c>
      <c r="S131" s="38">
        <v>115</v>
      </c>
      <c r="T131" s="38">
        <v>115</v>
      </c>
      <c r="U131" s="38">
        <v>115</v>
      </c>
      <c r="V131" s="38">
        <v>115</v>
      </c>
      <c r="W131" s="38">
        <v>115</v>
      </c>
      <c r="X131" s="38">
        <v>115</v>
      </c>
      <c r="Y131" s="38">
        <v>250</v>
      </c>
      <c r="Z131" s="38">
        <v>250</v>
      </c>
      <c r="AA131" s="38">
        <v>250</v>
      </c>
      <c r="AB131" s="38">
        <v>250</v>
      </c>
      <c r="AC131" s="38">
        <v>2</v>
      </c>
      <c r="AD131" s="38">
        <v>4</v>
      </c>
      <c r="AE131" s="38">
        <v>8</v>
      </c>
      <c r="AF131" s="38">
        <v>8</v>
      </c>
      <c r="AG131" s="38">
        <v>0</v>
      </c>
      <c r="AH131" s="38">
        <v>0</v>
      </c>
      <c r="AI131" s="38">
        <v>0</v>
      </c>
      <c r="AJ131" s="38">
        <v>0</v>
      </c>
    </row>
    <row r="132" spans="1:36">
      <c r="A132" t="s">
        <v>112</v>
      </c>
      <c r="B132" t="s">
        <v>313</v>
      </c>
      <c r="C132" s="2" t="s">
        <v>111</v>
      </c>
      <c r="D132" s="6" t="s">
        <v>46</v>
      </c>
      <c r="E132" s="38">
        <v>30000</v>
      </c>
      <c r="F132" s="38">
        <v>30000</v>
      </c>
      <c r="G132" s="38">
        <v>30000</v>
      </c>
      <c r="H132" s="38">
        <v>30000</v>
      </c>
      <c r="I132" s="39">
        <v>95</v>
      </c>
      <c r="J132" s="39">
        <v>95</v>
      </c>
      <c r="K132" s="39">
        <v>110</v>
      </c>
      <c r="L132" s="39">
        <v>110</v>
      </c>
      <c r="M132" s="38">
        <v>250</v>
      </c>
      <c r="N132" s="38">
        <v>250</v>
      </c>
      <c r="O132" s="38">
        <v>250</v>
      </c>
      <c r="P132" s="38">
        <v>250</v>
      </c>
      <c r="Q132" s="38">
        <v>115</v>
      </c>
      <c r="R132" s="38">
        <v>115</v>
      </c>
      <c r="S132" s="38">
        <v>115</v>
      </c>
      <c r="T132" s="38">
        <v>115</v>
      </c>
      <c r="U132" s="38">
        <v>115</v>
      </c>
      <c r="V132" s="38">
        <v>115</v>
      </c>
      <c r="W132" s="38">
        <v>115</v>
      </c>
      <c r="X132" s="38">
        <v>115</v>
      </c>
      <c r="Y132" s="38">
        <v>250</v>
      </c>
      <c r="Z132" s="38">
        <v>250</v>
      </c>
      <c r="AA132" s="38">
        <v>250</v>
      </c>
      <c r="AB132" s="38">
        <v>250</v>
      </c>
      <c r="AC132" s="38">
        <v>2</v>
      </c>
      <c r="AD132" s="38">
        <v>4</v>
      </c>
      <c r="AE132" s="38">
        <v>8</v>
      </c>
      <c r="AF132" s="38">
        <v>8</v>
      </c>
      <c r="AG132" s="38">
        <v>0</v>
      </c>
      <c r="AH132" s="38">
        <v>0</v>
      </c>
      <c r="AI132" s="38">
        <v>0</v>
      </c>
      <c r="AJ132" s="38">
        <v>0</v>
      </c>
    </row>
    <row r="133" spans="1:36">
      <c r="A133" t="s">
        <v>112</v>
      </c>
      <c r="B133" t="s">
        <v>313</v>
      </c>
      <c r="C133" s="2" t="s">
        <v>111</v>
      </c>
      <c r="D133" s="6" t="s">
        <v>46</v>
      </c>
      <c r="E133" s="38">
        <v>31000</v>
      </c>
      <c r="F133" s="38">
        <v>31000</v>
      </c>
      <c r="G133" s="38">
        <v>31000</v>
      </c>
      <c r="H133" s="38">
        <v>31000</v>
      </c>
      <c r="I133" s="39">
        <v>94.84</v>
      </c>
      <c r="J133" s="39">
        <v>94.84</v>
      </c>
      <c r="K133" s="39">
        <v>109.68</v>
      </c>
      <c r="L133" s="39">
        <v>109.68</v>
      </c>
      <c r="M133" s="38">
        <v>250</v>
      </c>
      <c r="N133" s="38">
        <v>250</v>
      </c>
      <c r="O133" s="38">
        <v>250</v>
      </c>
      <c r="P133" s="38">
        <v>250</v>
      </c>
      <c r="Q133" s="38">
        <v>115</v>
      </c>
      <c r="R133" s="38">
        <v>115</v>
      </c>
      <c r="S133" s="38">
        <v>115</v>
      </c>
      <c r="T133" s="38">
        <v>115</v>
      </c>
      <c r="U133" s="38">
        <v>115</v>
      </c>
      <c r="V133" s="38">
        <v>115</v>
      </c>
      <c r="W133" s="38">
        <v>115</v>
      </c>
      <c r="X133" s="38">
        <v>115</v>
      </c>
      <c r="Y133" s="38">
        <v>250</v>
      </c>
      <c r="Z133" s="38">
        <v>250</v>
      </c>
      <c r="AA133" s="38">
        <v>250</v>
      </c>
      <c r="AB133" s="38">
        <v>250</v>
      </c>
      <c r="AC133" s="38">
        <v>2</v>
      </c>
      <c r="AD133" s="38">
        <v>4</v>
      </c>
      <c r="AE133" s="38">
        <v>8</v>
      </c>
      <c r="AF133" s="38">
        <v>8</v>
      </c>
      <c r="AG133" s="38">
        <v>0</v>
      </c>
      <c r="AH133" s="38">
        <v>0</v>
      </c>
      <c r="AI133" s="38">
        <v>0</v>
      </c>
      <c r="AJ133" s="38">
        <v>0</v>
      </c>
    </row>
    <row r="134" spans="1:36">
      <c r="A134" t="s">
        <v>112</v>
      </c>
      <c r="B134" t="s">
        <v>313</v>
      </c>
      <c r="C134" s="2" t="s">
        <v>111</v>
      </c>
      <c r="D134" s="6" t="s">
        <v>46</v>
      </c>
      <c r="E134" s="38">
        <v>32000</v>
      </c>
      <c r="F134" s="38">
        <v>32000</v>
      </c>
      <c r="G134" s="38">
        <v>32000</v>
      </c>
      <c r="H134" s="38">
        <v>32000</v>
      </c>
      <c r="I134" s="39">
        <v>94.69</v>
      </c>
      <c r="J134" s="39">
        <v>94.69</v>
      </c>
      <c r="K134" s="39">
        <v>109.38</v>
      </c>
      <c r="L134" s="39">
        <v>109.38</v>
      </c>
      <c r="M134" s="38">
        <v>250</v>
      </c>
      <c r="N134" s="38">
        <v>250</v>
      </c>
      <c r="O134" s="38">
        <v>250</v>
      </c>
      <c r="P134" s="38">
        <v>250</v>
      </c>
      <c r="Q134" s="38">
        <v>115</v>
      </c>
      <c r="R134" s="38">
        <v>115</v>
      </c>
      <c r="S134" s="38">
        <v>115</v>
      </c>
      <c r="T134" s="38">
        <v>115</v>
      </c>
      <c r="U134" s="38">
        <v>115</v>
      </c>
      <c r="V134" s="38">
        <v>115</v>
      </c>
      <c r="W134" s="38">
        <v>115</v>
      </c>
      <c r="X134" s="38">
        <v>115</v>
      </c>
      <c r="Y134" s="38">
        <v>250</v>
      </c>
      <c r="Z134" s="38">
        <v>250</v>
      </c>
      <c r="AA134" s="38">
        <v>250</v>
      </c>
      <c r="AB134" s="38">
        <v>250</v>
      </c>
      <c r="AC134" s="38">
        <v>2</v>
      </c>
      <c r="AD134" s="38">
        <v>4</v>
      </c>
      <c r="AE134" s="38">
        <v>8</v>
      </c>
      <c r="AF134" s="38">
        <v>8</v>
      </c>
      <c r="AG134" s="38">
        <v>0</v>
      </c>
      <c r="AH134" s="38">
        <v>0</v>
      </c>
      <c r="AI134" s="38">
        <v>0</v>
      </c>
      <c r="AJ134" s="38">
        <v>0</v>
      </c>
    </row>
    <row r="135" spans="1:36">
      <c r="A135" t="s">
        <v>112</v>
      </c>
      <c r="B135" t="s">
        <v>313</v>
      </c>
      <c r="C135" s="2" t="s">
        <v>111</v>
      </c>
      <c r="D135" s="6" t="s">
        <v>46</v>
      </c>
      <c r="E135" s="38">
        <v>33000</v>
      </c>
      <c r="F135" s="38">
        <v>33000</v>
      </c>
      <c r="G135" s="38">
        <v>33000</v>
      </c>
      <c r="H135" s="38">
        <v>33000</v>
      </c>
      <c r="I135" s="39">
        <v>94.55</v>
      </c>
      <c r="J135" s="39">
        <v>94.55</v>
      </c>
      <c r="K135" s="39">
        <v>109.09</v>
      </c>
      <c r="L135" s="39">
        <v>109.09</v>
      </c>
      <c r="M135" s="38">
        <v>250</v>
      </c>
      <c r="N135" s="38">
        <v>250</v>
      </c>
      <c r="O135" s="38">
        <v>250</v>
      </c>
      <c r="P135" s="38">
        <v>250</v>
      </c>
      <c r="Q135" s="38">
        <v>115</v>
      </c>
      <c r="R135" s="38">
        <v>115</v>
      </c>
      <c r="S135" s="38">
        <v>115</v>
      </c>
      <c r="T135" s="38">
        <v>115</v>
      </c>
      <c r="U135" s="38">
        <v>115</v>
      </c>
      <c r="V135" s="38">
        <v>115</v>
      </c>
      <c r="W135" s="38">
        <v>115</v>
      </c>
      <c r="X135" s="38">
        <v>115</v>
      </c>
      <c r="Y135" s="38">
        <v>250</v>
      </c>
      <c r="Z135" s="38">
        <v>250</v>
      </c>
      <c r="AA135" s="38">
        <v>250</v>
      </c>
      <c r="AB135" s="38">
        <v>250</v>
      </c>
      <c r="AC135" s="38">
        <v>2</v>
      </c>
      <c r="AD135" s="38">
        <v>4</v>
      </c>
      <c r="AE135" s="38">
        <v>8</v>
      </c>
      <c r="AF135" s="38">
        <v>8</v>
      </c>
      <c r="AG135" s="38">
        <v>0</v>
      </c>
      <c r="AH135" s="38">
        <v>0</v>
      </c>
      <c r="AI135" s="38">
        <v>0</v>
      </c>
      <c r="AJ135" s="38">
        <v>0</v>
      </c>
    </row>
    <row r="136" spans="1:36">
      <c r="A136" t="s">
        <v>112</v>
      </c>
      <c r="B136" t="s">
        <v>313</v>
      </c>
      <c r="C136" s="2" t="s">
        <v>111</v>
      </c>
      <c r="D136" s="6" t="s">
        <v>46</v>
      </c>
      <c r="E136" s="38">
        <v>34000</v>
      </c>
      <c r="F136" s="38">
        <v>34000</v>
      </c>
      <c r="G136" s="38">
        <v>34000</v>
      </c>
      <c r="H136" s="38">
        <v>34000</v>
      </c>
      <c r="I136" s="39">
        <v>94.41</v>
      </c>
      <c r="J136" s="39">
        <v>94.41</v>
      </c>
      <c r="K136" s="39">
        <v>108.82</v>
      </c>
      <c r="L136" s="39">
        <v>108.82</v>
      </c>
      <c r="M136" s="38">
        <v>250</v>
      </c>
      <c r="N136" s="38">
        <v>250</v>
      </c>
      <c r="O136" s="38">
        <v>250</v>
      </c>
      <c r="P136" s="38">
        <v>250</v>
      </c>
      <c r="Q136" s="38">
        <v>115</v>
      </c>
      <c r="R136" s="38">
        <v>115</v>
      </c>
      <c r="S136" s="38">
        <v>115</v>
      </c>
      <c r="T136" s="38">
        <v>115</v>
      </c>
      <c r="U136" s="38">
        <v>115</v>
      </c>
      <c r="V136" s="38">
        <v>115</v>
      </c>
      <c r="W136" s="38">
        <v>115</v>
      </c>
      <c r="X136" s="38">
        <v>115</v>
      </c>
      <c r="Y136" s="38">
        <v>250</v>
      </c>
      <c r="Z136" s="38">
        <v>250</v>
      </c>
      <c r="AA136" s="38">
        <v>250</v>
      </c>
      <c r="AB136" s="38">
        <v>250</v>
      </c>
      <c r="AC136" s="38">
        <v>2</v>
      </c>
      <c r="AD136" s="38">
        <v>4</v>
      </c>
      <c r="AE136" s="38">
        <v>8</v>
      </c>
      <c r="AF136" s="38">
        <v>8</v>
      </c>
      <c r="AG136" s="38">
        <v>0</v>
      </c>
      <c r="AH136" s="38">
        <v>0</v>
      </c>
      <c r="AI136" s="38">
        <v>0</v>
      </c>
      <c r="AJ136" s="38">
        <v>0</v>
      </c>
    </row>
    <row r="137" spans="1:36">
      <c r="A137" t="s">
        <v>112</v>
      </c>
      <c r="B137" t="s">
        <v>313</v>
      </c>
      <c r="C137" s="2" t="s">
        <v>111</v>
      </c>
      <c r="D137" s="6" t="s">
        <v>46</v>
      </c>
      <c r="E137" s="38">
        <v>35000</v>
      </c>
      <c r="F137" s="38">
        <v>35000</v>
      </c>
      <c r="G137" s="38">
        <v>35000</v>
      </c>
      <c r="H137" s="38">
        <v>35000</v>
      </c>
      <c r="I137" s="39">
        <v>94.29</v>
      </c>
      <c r="J137" s="39">
        <v>94.29</v>
      </c>
      <c r="K137" s="39">
        <v>108.57</v>
      </c>
      <c r="L137" s="39">
        <v>108.57</v>
      </c>
      <c r="M137" s="38">
        <v>250</v>
      </c>
      <c r="N137" s="38">
        <v>250</v>
      </c>
      <c r="O137" s="38">
        <v>250</v>
      </c>
      <c r="P137" s="38">
        <v>250</v>
      </c>
      <c r="Q137" s="38">
        <v>115</v>
      </c>
      <c r="R137" s="38">
        <v>115</v>
      </c>
      <c r="S137" s="38">
        <v>115</v>
      </c>
      <c r="T137" s="38">
        <v>115</v>
      </c>
      <c r="U137" s="38">
        <v>115</v>
      </c>
      <c r="V137" s="38">
        <v>115</v>
      </c>
      <c r="W137" s="38">
        <v>115</v>
      </c>
      <c r="X137" s="38">
        <v>115</v>
      </c>
      <c r="Y137" s="38">
        <v>250</v>
      </c>
      <c r="Z137" s="38">
        <v>250</v>
      </c>
      <c r="AA137" s="38">
        <v>250</v>
      </c>
      <c r="AB137" s="38">
        <v>250</v>
      </c>
      <c r="AC137" s="38">
        <v>2</v>
      </c>
      <c r="AD137" s="38">
        <v>4</v>
      </c>
      <c r="AE137" s="38">
        <v>8</v>
      </c>
      <c r="AF137" s="38">
        <v>8</v>
      </c>
      <c r="AG137" s="38">
        <v>0</v>
      </c>
      <c r="AH137" s="38">
        <v>0</v>
      </c>
      <c r="AI137" s="38">
        <v>0</v>
      </c>
      <c r="AJ137" s="38">
        <v>0</v>
      </c>
    </row>
    <row r="138" spans="1:36">
      <c r="A138" t="s">
        <v>112</v>
      </c>
      <c r="B138" t="s">
        <v>313</v>
      </c>
      <c r="C138" s="2" t="s">
        <v>111</v>
      </c>
      <c r="D138" s="6" t="s">
        <v>46</v>
      </c>
      <c r="E138" s="38">
        <v>36000</v>
      </c>
      <c r="F138" s="38">
        <v>36000</v>
      </c>
      <c r="G138" s="38">
        <v>36000</v>
      </c>
      <c r="H138" s="38">
        <v>36000</v>
      </c>
      <c r="I138" s="39">
        <v>94.17</v>
      </c>
      <c r="J138" s="39">
        <v>94.17</v>
      </c>
      <c r="K138" s="39">
        <v>108.33</v>
      </c>
      <c r="L138" s="39">
        <v>108.33</v>
      </c>
      <c r="M138" s="38">
        <v>250</v>
      </c>
      <c r="N138" s="38">
        <v>250</v>
      </c>
      <c r="O138" s="38">
        <v>250</v>
      </c>
      <c r="P138" s="38">
        <v>250</v>
      </c>
      <c r="Q138" s="38">
        <v>115</v>
      </c>
      <c r="R138" s="38">
        <v>115</v>
      </c>
      <c r="S138" s="38">
        <v>115</v>
      </c>
      <c r="T138" s="38">
        <v>115</v>
      </c>
      <c r="U138" s="38">
        <v>115</v>
      </c>
      <c r="V138" s="38">
        <v>115</v>
      </c>
      <c r="W138" s="38">
        <v>115</v>
      </c>
      <c r="X138" s="38">
        <v>115</v>
      </c>
      <c r="Y138" s="38">
        <v>250</v>
      </c>
      <c r="Z138" s="38">
        <v>250</v>
      </c>
      <c r="AA138" s="38">
        <v>250</v>
      </c>
      <c r="AB138" s="38">
        <v>250</v>
      </c>
      <c r="AC138" s="38">
        <v>2</v>
      </c>
      <c r="AD138" s="38">
        <v>4</v>
      </c>
      <c r="AE138" s="38">
        <v>8</v>
      </c>
      <c r="AF138" s="38">
        <v>8</v>
      </c>
      <c r="AG138" s="38">
        <v>0</v>
      </c>
      <c r="AH138" s="38">
        <v>0</v>
      </c>
      <c r="AI138" s="38">
        <v>0</v>
      </c>
      <c r="AJ138" s="38">
        <v>0</v>
      </c>
    </row>
    <row r="139" spans="1:36">
      <c r="A139" t="s">
        <v>112</v>
      </c>
      <c r="B139" t="s">
        <v>313</v>
      </c>
      <c r="C139" s="2" t="s">
        <v>111</v>
      </c>
      <c r="D139" s="6" t="s">
        <v>46</v>
      </c>
      <c r="E139" s="38">
        <v>37000</v>
      </c>
      <c r="F139" s="38">
        <v>37000</v>
      </c>
      <c r="G139" s="38">
        <v>37000</v>
      </c>
      <c r="H139" s="38">
        <v>37000</v>
      </c>
      <c r="I139" s="39">
        <v>94.05</v>
      </c>
      <c r="J139" s="39">
        <v>94.05</v>
      </c>
      <c r="K139" s="39">
        <v>108.11</v>
      </c>
      <c r="L139" s="39">
        <v>108.11</v>
      </c>
      <c r="M139" s="38">
        <v>250</v>
      </c>
      <c r="N139" s="38">
        <v>250</v>
      </c>
      <c r="O139" s="38">
        <v>250</v>
      </c>
      <c r="P139" s="38">
        <v>250</v>
      </c>
      <c r="Q139" s="38">
        <v>115</v>
      </c>
      <c r="R139" s="38">
        <v>115</v>
      </c>
      <c r="S139" s="38">
        <v>115</v>
      </c>
      <c r="T139" s="38">
        <v>115</v>
      </c>
      <c r="U139" s="38">
        <v>115</v>
      </c>
      <c r="V139" s="38">
        <v>115</v>
      </c>
      <c r="W139" s="38">
        <v>115</v>
      </c>
      <c r="X139" s="38">
        <v>115</v>
      </c>
      <c r="Y139" s="38">
        <v>250</v>
      </c>
      <c r="Z139" s="38">
        <v>250</v>
      </c>
      <c r="AA139" s="38">
        <v>250</v>
      </c>
      <c r="AB139" s="38">
        <v>250</v>
      </c>
      <c r="AC139" s="38">
        <v>2</v>
      </c>
      <c r="AD139" s="38">
        <v>4</v>
      </c>
      <c r="AE139" s="38">
        <v>8</v>
      </c>
      <c r="AF139" s="38">
        <v>8</v>
      </c>
      <c r="AG139" s="38">
        <v>0</v>
      </c>
      <c r="AH139" s="38">
        <v>0</v>
      </c>
      <c r="AI139" s="38">
        <v>0</v>
      </c>
      <c r="AJ139" s="38">
        <v>0</v>
      </c>
    </row>
    <row r="140" spans="1:36">
      <c r="A140" t="s">
        <v>112</v>
      </c>
      <c r="B140" t="s">
        <v>313</v>
      </c>
      <c r="C140" s="2" t="s">
        <v>111</v>
      </c>
      <c r="D140" s="6" t="s">
        <v>46</v>
      </c>
      <c r="E140" s="38">
        <v>38000</v>
      </c>
      <c r="F140" s="38">
        <v>38000</v>
      </c>
      <c r="G140" s="38">
        <v>38000</v>
      </c>
      <c r="H140" s="38">
        <v>38000</v>
      </c>
      <c r="I140" s="39">
        <v>93.95</v>
      </c>
      <c r="J140" s="39">
        <v>93.95</v>
      </c>
      <c r="K140" s="39">
        <v>107.89</v>
      </c>
      <c r="L140" s="39">
        <v>107.89</v>
      </c>
      <c r="M140" s="38">
        <v>250</v>
      </c>
      <c r="N140" s="38">
        <v>250</v>
      </c>
      <c r="O140" s="38">
        <v>250</v>
      </c>
      <c r="P140" s="38">
        <v>250</v>
      </c>
      <c r="Q140" s="38">
        <v>115</v>
      </c>
      <c r="R140" s="38">
        <v>115</v>
      </c>
      <c r="S140" s="38">
        <v>115</v>
      </c>
      <c r="T140" s="38">
        <v>115</v>
      </c>
      <c r="U140" s="38">
        <v>115</v>
      </c>
      <c r="V140" s="38">
        <v>115</v>
      </c>
      <c r="W140" s="38">
        <v>115</v>
      </c>
      <c r="X140" s="38">
        <v>115</v>
      </c>
      <c r="Y140" s="38">
        <v>250</v>
      </c>
      <c r="Z140" s="38">
        <v>250</v>
      </c>
      <c r="AA140" s="38">
        <v>250</v>
      </c>
      <c r="AB140" s="38">
        <v>250</v>
      </c>
      <c r="AC140" s="38">
        <v>2</v>
      </c>
      <c r="AD140" s="38">
        <v>4</v>
      </c>
      <c r="AE140" s="38">
        <v>8</v>
      </c>
      <c r="AF140" s="38">
        <v>8</v>
      </c>
      <c r="AG140" s="38">
        <v>0</v>
      </c>
      <c r="AH140" s="38">
        <v>0</v>
      </c>
      <c r="AI140" s="38">
        <v>0</v>
      </c>
      <c r="AJ140" s="38">
        <v>0</v>
      </c>
    </row>
    <row r="141" spans="1:36">
      <c r="A141" t="s">
        <v>112</v>
      </c>
      <c r="B141" t="s">
        <v>313</v>
      </c>
      <c r="C141" s="2" t="s">
        <v>111</v>
      </c>
      <c r="D141" s="6" t="s">
        <v>46</v>
      </c>
      <c r="E141" s="38">
        <v>39000</v>
      </c>
      <c r="F141" s="38">
        <v>39000</v>
      </c>
      <c r="G141" s="38">
        <v>39000</v>
      </c>
      <c r="H141" s="38">
        <v>39000</v>
      </c>
      <c r="I141" s="39">
        <v>93.85</v>
      </c>
      <c r="J141" s="39">
        <v>93.85</v>
      </c>
      <c r="K141" s="39">
        <v>107.69</v>
      </c>
      <c r="L141" s="39">
        <v>107.69</v>
      </c>
      <c r="M141" s="38">
        <v>250</v>
      </c>
      <c r="N141" s="38">
        <v>250</v>
      </c>
      <c r="O141" s="38">
        <v>250</v>
      </c>
      <c r="P141" s="38">
        <v>250</v>
      </c>
      <c r="Q141" s="38">
        <v>115</v>
      </c>
      <c r="R141" s="38">
        <v>115</v>
      </c>
      <c r="S141" s="38">
        <v>115</v>
      </c>
      <c r="T141" s="38">
        <v>115</v>
      </c>
      <c r="U141" s="38">
        <v>115</v>
      </c>
      <c r="V141" s="38">
        <v>115</v>
      </c>
      <c r="W141" s="38">
        <v>115</v>
      </c>
      <c r="X141" s="38">
        <v>115</v>
      </c>
      <c r="Y141" s="38">
        <v>250</v>
      </c>
      <c r="Z141" s="38">
        <v>250</v>
      </c>
      <c r="AA141" s="38">
        <v>250</v>
      </c>
      <c r="AB141" s="38">
        <v>250</v>
      </c>
      <c r="AC141" s="38">
        <v>2</v>
      </c>
      <c r="AD141" s="38">
        <v>4</v>
      </c>
      <c r="AE141" s="38">
        <v>8</v>
      </c>
      <c r="AF141" s="38">
        <v>8</v>
      </c>
      <c r="AG141" s="38">
        <v>0</v>
      </c>
      <c r="AH141" s="38">
        <v>0</v>
      </c>
      <c r="AI141" s="38">
        <v>0</v>
      </c>
      <c r="AJ141" s="38">
        <v>0</v>
      </c>
    </row>
    <row r="142" spans="1:36">
      <c r="A142" t="s">
        <v>112</v>
      </c>
      <c r="B142" t="s">
        <v>313</v>
      </c>
      <c r="C142" s="2" t="s">
        <v>111</v>
      </c>
      <c r="D142" s="6" t="s">
        <v>46</v>
      </c>
      <c r="E142" s="38">
        <v>40000</v>
      </c>
      <c r="F142" s="38">
        <v>40000</v>
      </c>
      <c r="G142" s="38">
        <v>40000</v>
      </c>
      <c r="H142" s="38">
        <v>40000</v>
      </c>
      <c r="I142" s="39">
        <v>93.75</v>
      </c>
      <c r="J142" s="39">
        <v>93.75</v>
      </c>
      <c r="K142" s="39">
        <v>107.5</v>
      </c>
      <c r="L142" s="39">
        <v>107.5</v>
      </c>
      <c r="M142" s="38">
        <v>250</v>
      </c>
      <c r="N142" s="38">
        <v>250</v>
      </c>
      <c r="O142" s="38">
        <v>250</v>
      </c>
      <c r="P142" s="38">
        <v>250</v>
      </c>
      <c r="Q142" s="38">
        <v>115</v>
      </c>
      <c r="R142" s="38">
        <v>115</v>
      </c>
      <c r="S142" s="38">
        <v>115</v>
      </c>
      <c r="T142" s="38">
        <v>115</v>
      </c>
      <c r="U142" s="38">
        <v>115</v>
      </c>
      <c r="V142" s="38">
        <v>115</v>
      </c>
      <c r="W142" s="38">
        <v>115</v>
      </c>
      <c r="X142" s="38">
        <v>115</v>
      </c>
      <c r="Y142" s="38">
        <v>250</v>
      </c>
      <c r="Z142" s="38">
        <v>250</v>
      </c>
      <c r="AA142" s="38">
        <v>250</v>
      </c>
      <c r="AB142" s="38">
        <v>250</v>
      </c>
      <c r="AC142" s="38">
        <v>2</v>
      </c>
      <c r="AD142" s="38">
        <v>4</v>
      </c>
      <c r="AE142" s="38">
        <v>8</v>
      </c>
      <c r="AF142" s="38">
        <v>8</v>
      </c>
      <c r="AG142" s="38">
        <v>0</v>
      </c>
      <c r="AH142" s="38">
        <v>0</v>
      </c>
      <c r="AI142" s="38">
        <v>0</v>
      </c>
      <c r="AJ142" s="38">
        <v>0</v>
      </c>
    </row>
    <row r="143" spans="1:36">
      <c r="A143" t="s">
        <v>112</v>
      </c>
      <c r="B143" t="s">
        <v>313</v>
      </c>
      <c r="C143" s="2" t="s">
        <v>111</v>
      </c>
      <c r="D143" s="6" t="s">
        <v>46</v>
      </c>
      <c r="E143" s="38">
        <v>41000</v>
      </c>
      <c r="F143" s="38">
        <v>41000</v>
      </c>
      <c r="G143" s="38">
        <v>41000</v>
      </c>
      <c r="H143" s="38">
        <v>41000</v>
      </c>
      <c r="I143" s="39">
        <v>93.66</v>
      </c>
      <c r="J143" s="39">
        <v>93.66</v>
      </c>
      <c r="K143" s="39">
        <v>107.32</v>
      </c>
      <c r="L143" s="39">
        <v>107.32</v>
      </c>
      <c r="M143" s="38">
        <v>250</v>
      </c>
      <c r="N143" s="38">
        <v>250</v>
      </c>
      <c r="O143" s="38">
        <v>250</v>
      </c>
      <c r="P143" s="38">
        <v>250</v>
      </c>
      <c r="Q143" s="38">
        <v>115</v>
      </c>
      <c r="R143" s="38">
        <v>115</v>
      </c>
      <c r="S143" s="38">
        <v>115</v>
      </c>
      <c r="T143" s="38">
        <v>115</v>
      </c>
      <c r="U143" s="38">
        <v>115</v>
      </c>
      <c r="V143" s="38">
        <v>115</v>
      </c>
      <c r="W143" s="38">
        <v>115</v>
      </c>
      <c r="X143" s="38">
        <v>115</v>
      </c>
      <c r="Y143" s="38">
        <v>250</v>
      </c>
      <c r="Z143" s="38">
        <v>250</v>
      </c>
      <c r="AA143" s="38">
        <v>250</v>
      </c>
      <c r="AB143" s="38">
        <v>250</v>
      </c>
      <c r="AC143" s="38">
        <v>2</v>
      </c>
      <c r="AD143" s="38">
        <v>4</v>
      </c>
      <c r="AE143" s="38">
        <v>8</v>
      </c>
      <c r="AF143" s="38">
        <v>8</v>
      </c>
      <c r="AG143" s="38">
        <v>0</v>
      </c>
      <c r="AH143" s="38">
        <v>0</v>
      </c>
      <c r="AI143" s="38">
        <v>0</v>
      </c>
      <c r="AJ143" s="38">
        <v>0</v>
      </c>
    </row>
    <row r="144" spans="1:36">
      <c r="A144" t="s">
        <v>112</v>
      </c>
      <c r="B144" t="s">
        <v>313</v>
      </c>
      <c r="C144" s="2" t="s">
        <v>111</v>
      </c>
      <c r="D144" s="6" t="s">
        <v>46</v>
      </c>
      <c r="E144" s="38">
        <v>42000</v>
      </c>
      <c r="F144" s="38">
        <v>42000</v>
      </c>
      <c r="G144" s="38">
        <v>42000</v>
      </c>
      <c r="H144" s="38">
        <v>42000</v>
      </c>
      <c r="I144" s="39">
        <v>93.57</v>
      </c>
      <c r="J144" s="39">
        <v>93.57</v>
      </c>
      <c r="K144" s="39">
        <v>107.14</v>
      </c>
      <c r="L144" s="39">
        <v>107.14</v>
      </c>
      <c r="M144" s="38">
        <v>250</v>
      </c>
      <c r="N144" s="38">
        <v>250</v>
      </c>
      <c r="O144" s="38">
        <v>250</v>
      </c>
      <c r="P144" s="38">
        <v>250</v>
      </c>
      <c r="Q144" s="38">
        <v>115</v>
      </c>
      <c r="R144" s="38">
        <v>115</v>
      </c>
      <c r="S144" s="38">
        <v>115</v>
      </c>
      <c r="T144" s="38">
        <v>115</v>
      </c>
      <c r="U144" s="38">
        <v>115</v>
      </c>
      <c r="V144" s="38">
        <v>115</v>
      </c>
      <c r="W144" s="38">
        <v>115</v>
      </c>
      <c r="X144" s="38">
        <v>115</v>
      </c>
      <c r="Y144" s="38">
        <v>250</v>
      </c>
      <c r="Z144" s="38">
        <v>250</v>
      </c>
      <c r="AA144" s="38">
        <v>250</v>
      </c>
      <c r="AB144" s="38">
        <v>250</v>
      </c>
      <c r="AC144" s="38">
        <v>2</v>
      </c>
      <c r="AD144" s="38">
        <v>4</v>
      </c>
      <c r="AE144" s="38">
        <v>8</v>
      </c>
      <c r="AF144" s="38">
        <v>8</v>
      </c>
      <c r="AG144" s="38">
        <v>0</v>
      </c>
      <c r="AH144" s="38">
        <v>0</v>
      </c>
      <c r="AI144" s="38">
        <v>0</v>
      </c>
      <c r="AJ144" s="38">
        <v>0</v>
      </c>
    </row>
    <row r="145" spans="1:36">
      <c r="A145" t="s">
        <v>112</v>
      </c>
      <c r="B145" t="s">
        <v>313</v>
      </c>
      <c r="C145" s="2" t="s">
        <v>111</v>
      </c>
      <c r="D145" s="6" t="s">
        <v>46</v>
      </c>
      <c r="E145" s="38">
        <v>43000</v>
      </c>
      <c r="F145" s="38">
        <v>43000</v>
      </c>
      <c r="G145" s="38">
        <v>43000</v>
      </c>
      <c r="H145" s="38">
        <v>43000</v>
      </c>
      <c r="I145" s="39">
        <v>93.49</v>
      </c>
      <c r="J145" s="39">
        <v>93.49</v>
      </c>
      <c r="K145" s="39">
        <v>106.98</v>
      </c>
      <c r="L145" s="39">
        <v>106.98</v>
      </c>
      <c r="M145" s="38">
        <v>250</v>
      </c>
      <c r="N145" s="38">
        <v>250</v>
      </c>
      <c r="O145" s="38">
        <v>250</v>
      </c>
      <c r="P145" s="38">
        <v>250</v>
      </c>
      <c r="Q145" s="38">
        <v>115</v>
      </c>
      <c r="R145" s="38">
        <v>115</v>
      </c>
      <c r="S145" s="38">
        <v>115</v>
      </c>
      <c r="T145" s="38">
        <v>115</v>
      </c>
      <c r="U145" s="38">
        <v>115</v>
      </c>
      <c r="V145" s="38">
        <v>115</v>
      </c>
      <c r="W145" s="38">
        <v>115</v>
      </c>
      <c r="X145" s="38">
        <v>115</v>
      </c>
      <c r="Y145" s="38">
        <v>250</v>
      </c>
      <c r="Z145" s="38">
        <v>250</v>
      </c>
      <c r="AA145" s="38">
        <v>250</v>
      </c>
      <c r="AB145" s="38">
        <v>250</v>
      </c>
      <c r="AC145" s="38">
        <v>2</v>
      </c>
      <c r="AD145" s="38">
        <v>4</v>
      </c>
      <c r="AE145" s="38">
        <v>8</v>
      </c>
      <c r="AF145" s="38">
        <v>8</v>
      </c>
      <c r="AG145" s="38">
        <v>0</v>
      </c>
      <c r="AH145" s="38">
        <v>0</v>
      </c>
      <c r="AI145" s="38">
        <v>0</v>
      </c>
      <c r="AJ145" s="38">
        <v>0</v>
      </c>
    </row>
    <row r="146" spans="1:36">
      <c r="A146" t="s">
        <v>112</v>
      </c>
      <c r="B146" t="s">
        <v>313</v>
      </c>
      <c r="C146" s="2" t="s">
        <v>111</v>
      </c>
      <c r="D146" s="6" t="s">
        <v>46</v>
      </c>
      <c r="E146" s="40">
        <v>44000</v>
      </c>
      <c r="F146" s="40">
        <v>44000</v>
      </c>
      <c r="G146" s="40">
        <v>44000</v>
      </c>
      <c r="H146" s="40">
        <v>44000</v>
      </c>
      <c r="I146" s="41">
        <v>93.41</v>
      </c>
      <c r="J146" s="41">
        <v>93.41</v>
      </c>
      <c r="K146" s="41">
        <v>106.82</v>
      </c>
      <c r="L146" s="41">
        <v>106.82</v>
      </c>
      <c r="M146" s="38">
        <v>250</v>
      </c>
      <c r="N146" s="38">
        <v>250</v>
      </c>
      <c r="O146" s="38">
        <v>250</v>
      </c>
      <c r="P146" s="38">
        <v>250</v>
      </c>
      <c r="Q146" s="38">
        <v>115</v>
      </c>
      <c r="R146" s="38">
        <v>115</v>
      </c>
      <c r="S146" s="38">
        <v>115</v>
      </c>
      <c r="T146" s="38">
        <v>115</v>
      </c>
      <c r="U146" s="38">
        <v>115</v>
      </c>
      <c r="V146" s="38">
        <v>115</v>
      </c>
      <c r="W146" s="38">
        <v>115</v>
      </c>
      <c r="X146" s="38">
        <v>115</v>
      </c>
      <c r="Y146" s="38">
        <v>250</v>
      </c>
      <c r="Z146" s="38">
        <v>250</v>
      </c>
      <c r="AA146" s="38">
        <v>250</v>
      </c>
      <c r="AB146" s="38">
        <v>250</v>
      </c>
      <c r="AC146" s="38">
        <v>2</v>
      </c>
      <c r="AD146" s="38">
        <v>4</v>
      </c>
      <c r="AE146" s="38">
        <v>8</v>
      </c>
      <c r="AF146" s="38">
        <v>8</v>
      </c>
      <c r="AG146" s="38">
        <v>0</v>
      </c>
      <c r="AH146" s="38">
        <v>0</v>
      </c>
      <c r="AI146" s="38">
        <v>0</v>
      </c>
      <c r="AJ146" s="38">
        <v>0</v>
      </c>
    </row>
    <row r="147" spans="1:36">
      <c r="A147" t="s">
        <v>112</v>
      </c>
      <c r="B147" t="s">
        <v>313</v>
      </c>
      <c r="C147" s="2" t="s">
        <v>111</v>
      </c>
      <c r="D147" s="6" t="s">
        <v>46</v>
      </c>
      <c r="E147" s="40">
        <v>45000</v>
      </c>
      <c r="F147" s="40">
        <v>45000</v>
      </c>
      <c r="G147" s="40">
        <v>45000</v>
      </c>
      <c r="H147" s="40">
        <v>45000</v>
      </c>
      <c r="I147" s="41">
        <v>93.33</v>
      </c>
      <c r="J147" s="41">
        <v>93.33</v>
      </c>
      <c r="K147" s="41">
        <v>106.67</v>
      </c>
      <c r="L147" s="41">
        <v>106.67</v>
      </c>
      <c r="M147" s="38">
        <v>250</v>
      </c>
      <c r="N147" s="38">
        <v>250</v>
      </c>
      <c r="O147" s="38">
        <v>250</v>
      </c>
      <c r="P147" s="38">
        <v>250</v>
      </c>
      <c r="Q147" s="38">
        <v>115</v>
      </c>
      <c r="R147" s="38">
        <v>115</v>
      </c>
      <c r="S147" s="38">
        <v>115</v>
      </c>
      <c r="T147" s="38">
        <v>115</v>
      </c>
      <c r="U147" s="38">
        <v>115</v>
      </c>
      <c r="V147" s="38">
        <v>115</v>
      </c>
      <c r="W147" s="38">
        <v>115</v>
      </c>
      <c r="X147" s="38">
        <v>115</v>
      </c>
      <c r="Y147" s="38">
        <v>250</v>
      </c>
      <c r="Z147" s="38">
        <v>250</v>
      </c>
      <c r="AA147" s="38">
        <v>250</v>
      </c>
      <c r="AB147" s="38">
        <v>250</v>
      </c>
      <c r="AC147" s="38">
        <v>2</v>
      </c>
      <c r="AD147" s="38">
        <v>4</v>
      </c>
      <c r="AE147" s="38">
        <v>8</v>
      </c>
      <c r="AF147" s="38">
        <v>8</v>
      </c>
      <c r="AG147" s="38">
        <v>0</v>
      </c>
      <c r="AH147" s="38">
        <v>0</v>
      </c>
      <c r="AI147" s="38">
        <v>0</v>
      </c>
      <c r="AJ147" s="38">
        <v>0</v>
      </c>
    </row>
    <row r="148" spans="1:36">
      <c r="A148" t="s">
        <v>112</v>
      </c>
      <c r="B148" t="s">
        <v>313</v>
      </c>
      <c r="C148" s="2" t="s">
        <v>111</v>
      </c>
      <c r="D148" s="6" t="s">
        <v>46</v>
      </c>
      <c r="E148" s="40">
        <v>46000</v>
      </c>
      <c r="F148" s="40">
        <v>46000</v>
      </c>
      <c r="G148" s="40">
        <v>46000</v>
      </c>
      <c r="H148" s="40">
        <v>46000</v>
      </c>
      <c r="I148" s="41">
        <v>93.26</v>
      </c>
      <c r="J148" s="41">
        <v>93.26</v>
      </c>
      <c r="K148" s="41">
        <v>106.52</v>
      </c>
      <c r="L148" s="41">
        <v>106.52</v>
      </c>
      <c r="M148" s="38">
        <v>250</v>
      </c>
      <c r="N148" s="38">
        <v>250</v>
      </c>
      <c r="O148" s="38">
        <v>250</v>
      </c>
      <c r="P148" s="38">
        <v>250</v>
      </c>
      <c r="Q148" s="38">
        <v>115</v>
      </c>
      <c r="R148" s="38">
        <v>115</v>
      </c>
      <c r="S148" s="38">
        <v>115</v>
      </c>
      <c r="T148" s="38">
        <v>115</v>
      </c>
      <c r="U148" s="38">
        <v>115</v>
      </c>
      <c r="V148" s="38">
        <v>115</v>
      </c>
      <c r="W148" s="38">
        <v>115</v>
      </c>
      <c r="X148" s="38">
        <v>115</v>
      </c>
      <c r="Y148" s="38">
        <v>250</v>
      </c>
      <c r="Z148" s="38">
        <v>250</v>
      </c>
      <c r="AA148" s="38">
        <v>250</v>
      </c>
      <c r="AB148" s="38">
        <v>250</v>
      </c>
      <c r="AC148" s="38">
        <v>2</v>
      </c>
      <c r="AD148" s="38">
        <v>4</v>
      </c>
      <c r="AE148" s="38">
        <v>8</v>
      </c>
      <c r="AF148" s="38">
        <v>8</v>
      </c>
      <c r="AG148" s="38">
        <v>0</v>
      </c>
      <c r="AH148" s="38">
        <v>0</v>
      </c>
      <c r="AI148" s="38">
        <v>0</v>
      </c>
      <c r="AJ148" s="38">
        <v>0</v>
      </c>
    </row>
    <row r="149" spans="1:36">
      <c r="A149" t="s">
        <v>112</v>
      </c>
      <c r="B149" t="s">
        <v>313</v>
      </c>
      <c r="C149" s="2" t="s">
        <v>111</v>
      </c>
      <c r="D149" s="6" t="s">
        <v>46</v>
      </c>
      <c r="E149" s="40">
        <v>47000</v>
      </c>
      <c r="F149" s="40">
        <v>47000</v>
      </c>
      <c r="G149" s="40">
        <v>47000</v>
      </c>
      <c r="H149" s="40">
        <v>47000</v>
      </c>
      <c r="I149" s="41">
        <v>93.19</v>
      </c>
      <c r="J149" s="41">
        <v>93.19</v>
      </c>
      <c r="K149" s="41">
        <v>106.38</v>
      </c>
      <c r="L149" s="41">
        <v>106.38</v>
      </c>
      <c r="M149" s="38">
        <v>250</v>
      </c>
      <c r="N149" s="38">
        <v>250</v>
      </c>
      <c r="O149" s="38">
        <v>250</v>
      </c>
      <c r="P149" s="38">
        <v>250</v>
      </c>
      <c r="Q149" s="38">
        <v>115</v>
      </c>
      <c r="R149" s="38">
        <v>115</v>
      </c>
      <c r="S149" s="38">
        <v>115</v>
      </c>
      <c r="T149" s="38">
        <v>115</v>
      </c>
      <c r="U149" s="38">
        <v>115</v>
      </c>
      <c r="V149" s="38">
        <v>115</v>
      </c>
      <c r="W149" s="38">
        <v>115</v>
      </c>
      <c r="X149" s="38">
        <v>115</v>
      </c>
      <c r="Y149" s="38">
        <v>250</v>
      </c>
      <c r="Z149" s="38">
        <v>250</v>
      </c>
      <c r="AA149" s="38">
        <v>250</v>
      </c>
      <c r="AB149" s="38">
        <v>250</v>
      </c>
      <c r="AC149" s="38">
        <v>2</v>
      </c>
      <c r="AD149" s="38">
        <v>4</v>
      </c>
      <c r="AE149" s="38">
        <v>8</v>
      </c>
      <c r="AF149" s="38">
        <v>8</v>
      </c>
      <c r="AG149" s="38">
        <v>0</v>
      </c>
      <c r="AH149" s="38">
        <v>0</v>
      </c>
      <c r="AI149" s="38">
        <v>0</v>
      </c>
      <c r="AJ149" s="38">
        <v>0</v>
      </c>
    </row>
    <row r="150" spans="1:36">
      <c r="A150" t="s">
        <v>112</v>
      </c>
      <c r="B150" t="s">
        <v>313</v>
      </c>
      <c r="C150" s="2" t="s">
        <v>111</v>
      </c>
      <c r="D150" s="6" t="s">
        <v>46</v>
      </c>
      <c r="E150" s="40">
        <v>48000</v>
      </c>
      <c r="F150" s="40">
        <v>48000</v>
      </c>
      <c r="G150" s="40">
        <v>48000</v>
      </c>
      <c r="H150" s="40">
        <v>48000</v>
      </c>
      <c r="I150" s="41">
        <v>93.13</v>
      </c>
      <c r="J150" s="41">
        <v>93.13</v>
      </c>
      <c r="K150" s="41">
        <v>106.25</v>
      </c>
      <c r="L150" s="41">
        <v>106.25</v>
      </c>
      <c r="M150" s="38">
        <v>250</v>
      </c>
      <c r="N150" s="38">
        <v>250</v>
      </c>
      <c r="O150" s="38">
        <v>250</v>
      </c>
      <c r="P150" s="38">
        <v>250</v>
      </c>
      <c r="Q150" s="38">
        <v>115</v>
      </c>
      <c r="R150" s="38">
        <v>115</v>
      </c>
      <c r="S150" s="38">
        <v>115</v>
      </c>
      <c r="T150" s="38">
        <v>115</v>
      </c>
      <c r="U150" s="38">
        <v>115</v>
      </c>
      <c r="V150" s="38">
        <v>115</v>
      </c>
      <c r="W150" s="38">
        <v>115</v>
      </c>
      <c r="X150" s="38">
        <v>115</v>
      </c>
      <c r="Y150" s="38">
        <v>250</v>
      </c>
      <c r="Z150" s="38">
        <v>250</v>
      </c>
      <c r="AA150" s="38">
        <v>250</v>
      </c>
      <c r="AB150" s="38">
        <v>250</v>
      </c>
      <c r="AC150" s="38">
        <v>2</v>
      </c>
      <c r="AD150" s="38">
        <v>4</v>
      </c>
      <c r="AE150" s="38">
        <v>8</v>
      </c>
      <c r="AF150" s="38">
        <v>8</v>
      </c>
      <c r="AG150" s="38">
        <v>0</v>
      </c>
      <c r="AH150" s="38">
        <v>0</v>
      </c>
      <c r="AI150" s="38">
        <v>0</v>
      </c>
      <c r="AJ150" s="38">
        <v>0</v>
      </c>
    </row>
    <row r="151" spans="1:36">
      <c r="A151" t="s">
        <v>112</v>
      </c>
      <c r="B151" t="s">
        <v>313</v>
      </c>
      <c r="C151" s="2" t="s">
        <v>111</v>
      </c>
      <c r="D151" s="6" t="s">
        <v>46</v>
      </c>
      <c r="E151" s="40">
        <v>49000</v>
      </c>
      <c r="F151" s="40">
        <v>49000</v>
      </c>
      <c r="G151" s="40">
        <v>49000</v>
      </c>
      <c r="H151" s="40">
        <v>49000</v>
      </c>
      <c r="I151" s="41">
        <v>93.06</v>
      </c>
      <c r="J151" s="41">
        <v>93.06</v>
      </c>
      <c r="K151" s="41">
        <v>106.12</v>
      </c>
      <c r="L151" s="41">
        <v>106.12</v>
      </c>
      <c r="M151" s="38">
        <v>250</v>
      </c>
      <c r="N151" s="38">
        <v>250</v>
      </c>
      <c r="O151" s="38">
        <v>250</v>
      </c>
      <c r="P151" s="38">
        <v>250</v>
      </c>
      <c r="Q151" s="38">
        <v>115</v>
      </c>
      <c r="R151" s="38">
        <v>115</v>
      </c>
      <c r="S151" s="38">
        <v>115</v>
      </c>
      <c r="T151" s="38">
        <v>115</v>
      </c>
      <c r="U151" s="38">
        <v>115</v>
      </c>
      <c r="V151" s="38">
        <v>115</v>
      </c>
      <c r="W151" s="38">
        <v>115</v>
      </c>
      <c r="X151" s="38">
        <v>115</v>
      </c>
      <c r="Y151" s="38">
        <v>250</v>
      </c>
      <c r="Z151" s="38">
        <v>250</v>
      </c>
      <c r="AA151" s="38">
        <v>250</v>
      </c>
      <c r="AB151" s="38">
        <v>250</v>
      </c>
      <c r="AC151" s="38">
        <v>2</v>
      </c>
      <c r="AD151" s="38">
        <v>4</v>
      </c>
      <c r="AE151" s="38">
        <v>8</v>
      </c>
      <c r="AF151" s="38">
        <v>8</v>
      </c>
      <c r="AG151" s="38">
        <v>0</v>
      </c>
      <c r="AH151" s="38">
        <v>0</v>
      </c>
      <c r="AI151" s="38">
        <v>0</v>
      </c>
      <c r="AJ151" s="38">
        <v>0</v>
      </c>
    </row>
    <row r="152" spans="1:36">
      <c r="A152" t="s">
        <v>112</v>
      </c>
      <c r="B152" t="s">
        <v>313</v>
      </c>
      <c r="C152" s="2" t="s">
        <v>111</v>
      </c>
      <c r="D152" s="6" t="s">
        <v>46</v>
      </c>
      <c r="E152" s="40">
        <v>50000</v>
      </c>
      <c r="F152" s="40">
        <v>50000</v>
      </c>
      <c r="G152" s="40">
        <v>50000</v>
      </c>
      <c r="H152" s="40">
        <v>50000</v>
      </c>
      <c r="I152" s="41">
        <v>93</v>
      </c>
      <c r="J152" s="41">
        <v>93</v>
      </c>
      <c r="K152" s="41">
        <v>106</v>
      </c>
      <c r="L152" s="41">
        <v>106</v>
      </c>
      <c r="M152" s="38">
        <v>250</v>
      </c>
      <c r="N152" s="38">
        <v>250</v>
      </c>
      <c r="O152" s="38">
        <v>250</v>
      </c>
      <c r="P152" s="38">
        <v>250</v>
      </c>
      <c r="Q152" s="38">
        <v>115</v>
      </c>
      <c r="R152" s="38">
        <v>115</v>
      </c>
      <c r="S152" s="38">
        <v>115</v>
      </c>
      <c r="T152" s="38">
        <v>115</v>
      </c>
      <c r="U152" s="38">
        <v>115</v>
      </c>
      <c r="V152" s="38">
        <v>115</v>
      </c>
      <c r="W152" s="38">
        <v>115</v>
      </c>
      <c r="X152" s="38">
        <v>115</v>
      </c>
      <c r="Y152" s="38">
        <v>250</v>
      </c>
      <c r="Z152" s="38">
        <v>250</v>
      </c>
      <c r="AA152" s="38">
        <v>250</v>
      </c>
      <c r="AB152" s="38">
        <v>250</v>
      </c>
      <c r="AC152" s="38">
        <v>2</v>
      </c>
      <c r="AD152" s="38">
        <v>4</v>
      </c>
      <c r="AE152" s="38">
        <v>8</v>
      </c>
      <c r="AF152" s="38">
        <v>8</v>
      </c>
      <c r="AG152" s="38">
        <v>0</v>
      </c>
      <c r="AH152" s="38">
        <v>0</v>
      </c>
      <c r="AI152" s="38">
        <v>0</v>
      </c>
      <c r="AJ152" s="38">
        <v>0</v>
      </c>
    </row>
    <row r="153" spans="1:36">
      <c r="A153" t="s">
        <v>112</v>
      </c>
      <c r="B153" t="s">
        <v>313</v>
      </c>
      <c r="C153" s="2" t="s">
        <v>111</v>
      </c>
      <c r="D153" s="6" t="s">
        <v>46</v>
      </c>
      <c r="E153" s="40">
        <v>51000</v>
      </c>
      <c r="F153" s="40">
        <v>51000</v>
      </c>
      <c r="G153" s="40">
        <v>51000</v>
      </c>
      <c r="H153" s="40">
        <v>51000</v>
      </c>
      <c r="I153" s="41">
        <v>92.94</v>
      </c>
      <c r="J153" s="41">
        <v>92.94</v>
      </c>
      <c r="K153" s="41">
        <v>105.88</v>
      </c>
      <c r="L153" s="41">
        <v>105.88</v>
      </c>
      <c r="M153" s="38">
        <v>250</v>
      </c>
      <c r="N153" s="38">
        <v>250</v>
      </c>
      <c r="O153" s="38">
        <v>250</v>
      </c>
      <c r="P153" s="38">
        <v>250</v>
      </c>
      <c r="Q153" s="38">
        <v>115</v>
      </c>
      <c r="R153" s="38">
        <v>115</v>
      </c>
      <c r="S153" s="38">
        <v>115</v>
      </c>
      <c r="T153" s="38">
        <v>115</v>
      </c>
      <c r="U153" s="38">
        <v>115</v>
      </c>
      <c r="V153" s="38">
        <v>115</v>
      </c>
      <c r="W153" s="38">
        <v>115</v>
      </c>
      <c r="X153" s="38">
        <v>115</v>
      </c>
      <c r="Y153" s="38">
        <v>250</v>
      </c>
      <c r="Z153" s="38">
        <v>250</v>
      </c>
      <c r="AA153" s="38">
        <v>250</v>
      </c>
      <c r="AB153" s="38">
        <v>250</v>
      </c>
      <c r="AC153" s="38">
        <v>2</v>
      </c>
      <c r="AD153" s="38">
        <v>4</v>
      </c>
      <c r="AE153" s="38">
        <v>8</v>
      </c>
      <c r="AF153" s="38">
        <v>8</v>
      </c>
      <c r="AG153" s="38">
        <v>0</v>
      </c>
      <c r="AH153" s="38">
        <v>0</v>
      </c>
      <c r="AI153" s="38">
        <v>0</v>
      </c>
      <c r="AJ153" s="38">
        <v>0</v>
      </c>
    </row>
    <row r="154" spans="1:36">
      <c r="A154" t="s">
        <v>112</v>
      </c>
      <c r="B154" t="s">
        <v>313</v>
      </c>
      <c r="C154" s="2" t="s">
        <v>111</v>
      </c>
      <c r="D154" s="6" t="s">
        <v>46</v>
      </c>
      <c r="E154" s="40">
        <v>52000</v>
      </c>
      <c r="F154" s="40">
        <v>52000</v>
      </c>
      <c r="G154" s="40">
        <v>52000</v>
      </c>
      <c r="H154" s="40">
        <v>52000</v>
      </c>
      <c r="I154" s="41">
        <v>92.88</v>
      </c>
      <c r="J154" s="41">
        <v>92.88</v>
      </c>
      <c r="K154" s="41">
        <v>105.77</v>
      </c>
      <c r="L154" s="41">
        <v>105.77</v>
      </c>
      <c r="M154" s="38">
        <v>250</v>
      </c>
      <c r="N154" s="38">
        <v>250</v>
      </c>
      <c r="O154" s="38">
        <v>250</v>
      </c>
      <c r="P154" s="38">
        <v>250</v>
      </c>
      <c r="Q154" s="38">
        <v>115</v>
      </c>
      <c r="R154" s="38">
        <v>115</v>
      </c>
      <c r="S154" s="38">
        <v>115</v>
      </c>
      <c r="T154" s="38">
        <v>115</v>
      </c>
      <c r="U154" s="38">
        <v>115</v>
      </c>
      <c r="V154" s="38">
        <v>115</v>
      </c>
      <c r="W154" s="38">
        <v>115</v>
      </c>
      <c r="X154" s="38">
        <v>115</v>
      </c>
      <c r="Y154" s="38">
        <v>250</v>
      </c>
      <c r="Z154" s="38">
        <v>250</v>
      </c>
      <c r="AA154" s="38">
        <v>250</v>
      </c>
      <c r="AB154" s="38">
        <v>250</v>
      </c>
      <c r="AC154" s="38">
        <v>2</v>
      </c>
      <c r="AD154" s="38">
        <v>4</v>
      </c>
      <c r="AE154" s="38">
        <v>8</v>
      </c>
      <c r="AF154" s="38">
        <v>8</v>
      </c>
      <c r="AG154" s="38">
        <v>0</v>
      </c>
      <c r="AH154" s="38">
        <v>0</v>
      </c>
      <c r="AI154" s="38">
        <v>0</v>
      </c>
      <c r="AJ154" s="38">
        <v>0</v>
      </c>
    </row>
    <row r="155" spans="1:36">
      <c r="A155" t="s">
        <v>112</v>
      </c>
      <c r="B155" t="s">
        <v>313</v>
      </c>
      <c r="C155" s="2" t="s">
        <v>111</v>
      </c>
      <c r="D155" s="6" t="s">
        <v>46</v>
      </c>
      <c r="E155" s="40">
        <v>53000</v>
      </c>
      <c r="F155" s="40">
        <v>53000</v>
      </c>
      <c r="G155" s="40">
        <v>53000</v>
      </c>
      <c r="H155" s="40">
        <v>53000</v>
      </c>
      <c r="I155" s="41">
        <v>92.83</v>
      </c>
      <c r="J155" s="41">
        <v>92.83</v>
      </c>
      <c r="K155" s="41">
        <v>105.66</v>
      </c>
      <c r="L155" s="41">
        <v>105.66</v>
      </c>
      <c r="M155" s="38">
        <v>250</v>
      </c>
      <c r="N155" s="38">
        <v>250</v>
      </c>
      <c r="O155" s="38">
        <v>250</v>
      </c>
      <c r="P155" s="38">
        <v>250</v>
      </c>
      <c r="Q155" s="38">
        <v>115</v>
      </c>
      <c r="R155" s="38">
        <v>115</v>
      </c>
      <c r="S155" s="38">
        <v>115</v>
      </c>
      <c r="T155" s="38">
        <v>115</v>
      </c>
      <c r="U155" s="38">
        <v>115</v>
      </c>
      <c r="V155" s="38">
        <v>115</v>
      </c>
      <c r="W155" s="38">
        <v>115</v>
      </c>
      <c r="X155" s="38">
        <v>115</v>
      </c>
      <c r="Y155" s="38">
        <v>250</v>
      </c>
      <c r="Z155" s="38">
        <v>250</v>
      </c>
      <c r="AA155" s="38">
        <v>250</v>
      </c>
      <c r="AB155" s="38">
        <v>250</v>
      </c>
      <c r="AC155" s="38">
        <v>2</v>
      </c>
      <c r="AD155" s="38">
        <v>4</v>
      </c>
      <c r="AE155" s="38">
        <v>8</v>
      </c>
      <c r="AF155" s="38">
        <v>8</v>
      </c>
      <c r="AG155" s="38">
        <v>0</v>
      </c>
      <c r="AH155" s="38">
        <v>0</v>
      </c>
      <c r="AI155" s="38">
        <v>0</v>
      </c>
      <c r="AJ155" s="38">
        <v>0</v>
      </c>
    </row>
    <row r="156" spans="1:36">
      <c r="A156" t="s">
        <v>112</v>
      </c>
      <c r="B156" t="s">
        <v>313</v>
      </c>
      <c r="C156" s="2" t="s">
        <v>111</v>
      </c>
      <c r="D156" s="6" t="s">
        <v>46</v>
      </c>
      <c r="E156" s="40">
        <v>54000</v>
      </c>
      <c r="F156" s="40">
        <v>54000</v>
      </c>
      <c r="G156" s="40">
        <v>54000</v>
      </c>
      <c r="H156" s="40">
        <v>54000</v>
      </c>
      <c r="I156" s="41">
        <v>92.78</v>
      </c>
      <c r="J156" s="41">
        <v>92.78</v>
      </c>
      <c r="K156" s="41">
        <v>105.56</v>
      </c>
      <c r="L156" s="41">
        <v>105.56</v>
      </c>
      <c r="M156" s="38">
        <v>250</v>
      </c>
      <c r="N156" s="38">
        <v>250</v>
      </c>
      <c r="O156" s="38">
        <v>250</v>
      </c>
      <c r="P156" s="38">
        <v>250</v>
      </c>
      <c r="Q156" s="38">
        <v>115</v>
      </c>
      <c r="R156" s="38">
        <v>115</v>
      </c>
      <c r="S156" s="38">
        <v>115</v>
      </c>
      <c r="T156" s="38">
        <v>115</v>
      </c>
      <c r="U156" s="38">
        <v>115</v>
      </c>
      <c r="V156" s="38">
        <v>115</v>
      </c>
      <c r="W156" s="38">
        <v>115</v>
      </c>
      <c r="X156" s="38">
        <v>115</v>
      </c>
      <c r="Y156" s="38">
        <v>250</v>
      </c>
      <c r="Z156" s="38">
        <v>250</v>
      </c>
      <c r="AA156" s="38">
        <v>250</v>
      </c>
      <c r="AB156" s="38">
        <v>250</v>
      </c>
      <c r="AC156" s="38">
        <v>2</v>
      </c>
      <c r="AD156" s="38">
        <v>4</v>
      </c>
      <c r="AE156" s="38">
        <v>8</v>
      </c>
      <c r="AF156" s="38">
        <v>8</v>
      </c>
      <c r="AG156" s="38">
        <v>0</v>
      </c>
      <c r="AH156" s="38">
        <v>0</v>
      </c>
      <c r="AI156" s="38">
        <v>0</v>
      </c>
      <c r="AJ156" s="38">
        <v>0</v>
      </c>
    </row>
    <row r="157" spans="1:36">
      <c r="A157" t="s">
        <v>112</v>
      </c>
      <c r="B157" t="s">
        <v>313</v>
      </c>
      <c r="C157" s="2" t="s">
        <v>111</v>
      </c>
      <c r="D157" s="6" t="s">
        <v>46</v>
      </c>
      <c r="E157" s="40">
        <v>55000</v>
      </c>
      <c r="F157" s="40">
        <v>55000</v>
      </c>
      <c r="G157" s="40">
        <v>55000</v>
      </c>
      <c r="H157" s="40">
        <v>55000</v>
      </c>
      <c r="I157" s="41">
        <v>92.73</v>
      </c>
      <c r="J157" s="41">
        <v>92.73</v>
      </c>
      <c r="K157" s="41">
        <v>105.45</v>
      </c>
      <c r="L157" s="41">
        <v>105.45</v>
      </c>
      <c r="M157" s="38">
        <v>250</v>
      </c>
      <c r="N157" s="38">
        <v>250</v>
      </c>
      <c r="O157" s="38">
        <v>250</v>
      </c>
      <c r="P157" s="38">
        <v>250</v>
      </c>
      <c r="Q157" s="38">
        <v>115</v>
      </c>
      <c r="R157" s="38">
        <v>115</v>
      </c>
      <c r="S157" s="38">
        <v>115</v>
      </c>
      <c r="T157" s="38">
        <v>115</v>
      </c>
      <c r="U157" s="38">
        <v>115</v>
      </c>
      <c r="V157" s="38">
        <v>115</v>
      </c>
      <c r="W157" s="38">
        <v>115</v>
      </c>
      <c r="X157" s="38">
        <v>115</v>
      </c>
      <c r="Y157" s="38">
        <v>250</v>
      </c>
      <c r="Z157" s="38">
        <v>250</v>
      </c>
      <c r="AA157" s="38">
        <v>250</v>
      </c>
      <c r="AB157" s="38">
        <v>250</v>
      </c>
      <c r="AC157" s="38">
        <v>2</v>
      </c>
      <c r="AD157" s="38">
        <v>4</v>
      </c>
      <c r="AE157" s="38">
        <v>8</v>
      </c>
      <c r="AF157" s="38">
        <v>8</v>
      </c>
      <c r="AG157" s="38">
        <v>0</v>
      </c>
      <c r="AH157" s="38">
        <v>0</v>
      </c>
      <c r="AI157" s="38">
        <v>0</v>
      </c>
      <c r="AJ157" s="38">
        <v>0</v>
      </c>
    </row>
    <row r="158" spans="1:36">
      <c r="A158" t="s">
        <v>112</v>
      </c>
      <c r="B158" t="s">
        <v>313</v>
      </c>
      <c r="C158" s="2" t="s">
        <v>111</v>
      </c>
      <c r="D158" s="6" t="s">
        <v>46</v>
      </c>
      <c r="E158" s="40">
        <v>56000</v>
      </c>
      <c r="F158" s="40">
        <v>56000</v>
      </c>
      <c r="G158" s="40">
        <v>56000</v>
      </c>
      <c r="H158" s="40">
        <v>56000</v>
      </c>
      <c r="I158" s="41">
        <v>92.68</v>
      </c>
      <c r="J158" s="41">
        <v>92.68</v>
      </c>
      <c r="K158" s="41">
        <v>105.36</v>
      </c>
      <c r="L158" s="41">
        <v>105.36</v>
      </c>
      <c r="M158" s="38">
        <v>250</v>
      </c>
      <c r="N158" s="38">
        <v>250</v>
      </c>
      <c r="O158" s="38">
        <v>250</v>
      </c>
      <c r="P158" s="38">
        <v>250</v>
      </c>
      <c r="Q158" s="38">
        <v>115</v>
      </c>
      <c r="R158" s="38">
        <v>115</v>
      </c>
      <c r="S158" s="38">
        <v>115</v>
      </c>
      <c r="T158" s="38">
        <v>115</v>
      </c>
      <c r="U158" s="38">
        <v>115</v>
      </c>
      <c r="V158" s="38">
        <v>115</v>
      </c>
      <c r="W158" s="38">
        <v>115</v>
      </c>
      <c r="X158" s="38">
        <v>115</v>
      </c>
      <c r="Y158" s="38">
        <v>250</v>
      </c>
      <c r="Z158" s="38">
        <v>250</v>
      </c>
      <c r="AA158" s="38">
        <v>250</v>
      </c>
      <c r="AB158" s="38">
        <v>250</v>
      </c>
      <c r="AC158" s="38">
        <v>2</v>
      </c>
      <c r="AD158" s="38">
        <v>4</v>
      </c>
      <c r="AE158" s="38">
        <v>8</v>
      </c>
      <c r="AF158" s="38">
        <v>8</v>
      </c>
      <c r="AG158" s="38">
        <v>0</v>
      </c>
      <c r="AH158" s="38">
        <v>0</v>
      </c>
      <c r="AI158" s="38">
        <v>0</v>
      </c>
      <c r="AJ158" s="38">
        <v>0</v>
      </c>
    </row>
    <row r="159" spans="1:36">
      <c r="A159" t="s">
        <v>112</v>
      </c>
      <c r="B159" t="s">
        <v>313</v>
      </c>
      <c r="C159" s="2" t="s">
        <v>111</v>
      </c>
      <c r="D159" s="6" t="s">
        <v>46</v>
      </c>
      <c r="E159" s="40">
        <v>57000</v>
      </c>
      <c r="F159" s="40">
        <v>57000</v>
      </c>
      <c r="G159" s="40">
        <v>57000</v>
      </c>
      <c r="H159" s="40">
        <v>57000</v>
      </c>
      <c r="I159" s="41">
        <v>92.63</v>
      </c>
      <c r="J159" s="41">
        <v>92.63</v>
      </c>
      <c r="K159" s="41">
        <v>105.26</v>
      </c>
      <c r="L159" s="41">
        <v>105.26</v>
      </c>
      <c r="M159" s="38">
        <v>250</v>
      </c>
      <c r="N159" s="38">
        <v>250</v>
      </c>
      <c r="O159" s="38">
        <v>250</v>
      </c>
      <c r="P159" s="38">
        <v>250</v>
      </c>
      <c r="Q159" s="38">
        <v>115</v>
      </c>
      <c r="R159" s="38">
        <v>115</v>
      </c>
      <c r="S159" s="38">
        <v>115</v>
      </c>
      <c r="T159" s="38">
        <v>115</v>
      </c>
      <c r="U159" s="38">
        <v>115</v>
      </c>
      <c r="V159" s="38">
        <v>115</v>
      </c>
      <c r="W159" s="38">
        <v>115</v>
      </c>
      <c r="X159" s="38">
        <v>115</v>
      </c>
      <c r="Y159" s="38">
        <v>250</v>
      </c>
      <c r="Z159" s="38">
        <v>250</v>
      </c>
      <c r="AA159" s="38">
        <v>250</v>
      </c>
      <c r="AB159" s="38">
        <v>250</v>
      </c>
      <c r="AC159" s="38">
        <v>2</v>
      </c>
      <c r="AD159" s="38">
        <v>4</v>
      </c>
      <c r="AE159" s="38">
        <v>8</v>
      </c>
      <c r="AF159" s="38">
        <v>8</v>
      </c>
      <c r="AG159" s="38">
        <v>0</v>
      </c>
      <c r="AH159" s="38">
        <v>0</v>
      </c>
      <c r="AI159" s="38">
        <v>0</v>
      </c>
      <c r="AJ159" s="38">
        <v>0</v>
      </c>
    </row>
    <row r="160" spans="1:36">
      <c r="A160" t="s">
        <v>112</v>
      </c>
      <c r="B160" t="s">
        <v>313</v>
      </c>
      <c r="C160" s="2" t="s">
        <v>111</v>
      </c>
      <c r="D160" s="6" t="s">
        <v>46</v>
      </c>
      <c r="E160" s="40">
        <v>58000</v>
      </c>
      <c r="F160" s="40">
        <v>58000</v>
      </c>
      <c r="G160" s="40">
        <v>58000</v>
      </c>
      <c r="H160" s="40">
        <v>58000</v>
      </c>
      <c r="I160" s="41">
        <v>92.59</v>
      </c>
      <c r="J160" s="41">
        <v>92.59</v>
      </c>
      <c r="K160" s="41">
        <v>105.17</v>
      </c>
      <c r="L160" s="41">
        <v>105.17</v>
      </c>
      <c r="M160" s="38">
        <v>250</v>
      </c>
      <c r="N160" s="38">
        <v>250</v>
      </c>
      <c r="O160" s="38">
        <v>250</v>
      </c>
      <c r="P160" s="38">
        <v>250</v>
      </c>
      <c r="Q160" s="38">
        <v>115</v>
      </c>
      <c r="R160" s="38">
        <v>115</v>
      </c>
      <c r="S160" s="38">
        <v>115</v>
      </c>
      <c r="T160" s="38">
        <v>115</v>
      </c>
      <c r="U160" s="38">
        <v>115</v>
      </c>
      <c r="V160" s="38">
        <v>115</v>
      </c>
      <c r="W160" s="38">
        <v>115</v>
      </c>
      <c r="X160" s="38">
        <v>115</v>
      </c>
      <c r="Y160" s="38">
        <v>250</v>
      </c>
      <c r="Z160" s="38">
        <v>250</v>
      </c>
      <c r="AA160" s="38">
        <v>250</v>
      </c>
      <c r="AB160" s="38">
        <v>250</v>
      </c>
      <c r="AC160" s="38">
        <v>2</v>
      </c>
      <c r="AD160" s="38">
        <v>4</v>
      </c>
      <c r="AE160" s="38">
        <v>8</v>
      </c>
      <c r="AF160" s="38">
        <v>8</v>
      </c>
      <c r="AG160" s="38">
        <v>0</v>
      </c>
      <c r="AH160" s="38">
        <v>0</v>
      </c>
      <c r="AI160" s="38">
        <v>0</v>
      </c>
      <c r="AJ160" s="38">
        <v>0</v>
      </c>
    </row>
    <row r="161" spans="1:36">
      <c r="A161" t="s">
        <v>112</v>
      </c>
      <c r="B161" t="s">
        <v>313</v>
      </c>
      <c r="C161" s="2" t="s">
        <v>111</v>
      </c>
      <c r="D161" s="6" t="s">
        <v>46</v>
      </c>
      <c r="E161" s="40">
        <v>59000</v>
      </c>
      <c r="F161" s="40">
        <v>59000</v>
      </c>
      <c r="G161" s="40">
        <v>59000</v>
      </c>
      <c r="H161" s="40">
        <v>59000</v>
      </c>
      <c r="I161" s="41">
        <v>92.54</v>
      </c>
      <c r="J161" s="41">
        <v>92.54</v>
      </c>
      <c r="K161" s="41">
        <v>105.08</v>
      </c>
      <c r="L161" s="41">
        <v>105.08</v>
      </c>
      <c r="M161" s="38">
        <v>250</v>
      </c>
      <c r="N161" s="38">
        <v>250</v>
      </c>
      <c r="O161" s="38">
        <v>250</v>
      </c>
      <c r="P161" s="38">
        <v>250</v>
      </c>
      <c r="Q161" s="38">
        <v>115</v>
      </c>
      <c r="R161" s="38">
        <v>115</v>
      </c>
      <c r="S161" s="38">
        <v>115</v>
      </c>
      <c r="T161" s="38">
        <v>115</v>
      </c>
      <c r="U161" s="38">
        <v>115</v>
      </c>
      <c r="V161" s="38">
        <v>115</v>
      </c>
      <c r="W161" s="38">
        <v>115</v>
      </c>
      <c r="X161" s="38">
        <v>115</v>
      </c>
      <c r="Y161" s="38">
        <v>250</v>
      </c>
      <c r="Z161" s="38">
        <v>250</v>
      </c>
      <c r="AA161" s="38">
        <v>250</v>
      </c>
      <c r="AB161" s="38">
        <v>250</v>
      </c>
      <c r="AC161" s="38">
        <v>2</v>
      </c>
      <c r="AD161" s="38">
        <v>4</v>
      </c>
      <c r="AE161" s="38">
        <v>8</v>
      </c>
      <c r="AF161" s="38">
        <v>8</v>
      </c>
      <c r="AG161" s="38">
        <v>0</v>
      </c>
      <c r="AH161" s="38">
        <v>0</v>
      </c>
      <c r="AI161" s="38">
        <v>0</v>
      </c>
      <c r="AJ161" s="38">
        <v>0</v>
      </c>
    </row>
    <row r="162" spans="1:36">
      <c r="A162" t="s">
        <v>112</v>
      </c>
      <c r="B162" t="s">
        <v>313</v>
      </c>
      <c r="C162" s="2" t="s">
        <v>111</v>
      </c>
      <c r="D162" s="6" t="s">
        <v>46</v>
      </c>
      <c r="E162" s="40">
        <v>60000</v>
      </c>
      <c r="F162" s="40">
        <v>60000</v>
      </c>
      <c r="G162" s="40">
        <v>60000</v>
      </c>
      <c r="H162" s="40">
        <v>60000</v>
      </c>
      <c r="I162" s="41">
        <v>92.5</v>
      </c>
      <c r="J162" s="41">
        <v>92.5</v>
      </c>
      <c r="K162" s="41">
        <v>105</v>
      </c>
      <c r="L162" s="41">
        <v>105</v>
      </c>
      <c r="M162" s="38">
        <v>250</v>
      </c>
      <c r="N162" s="38">
        <v>250</v>
      </c>
      <c r="O162" s="38">
        <v>250</v>
      </c>
      <c r="P162" s="38">
        <v>250</v>
      </c>
      <c r="Q162" s="38">
        <v>115</v>
      </c>
      <c r="R162" s="38">
        <v>115</v>
      </c>
      <c r="S162" s="38">
        <v>115</v>
      </c>
      <c r="T162" s="38">
        <v>115</v>
      </c>
      <c r="U162" s="38">
        <v>115</v>
      </c>
      <c r="V162" s="38">
        <v>115</v>
      </c>
      <c r="W162" s="38">
        <v>115</v>
      </c>
      <c r="X162" s="38">
        <v>115</v>
      </c>
      <c r="Y162" s="38">
        <v>250</v>
      </c>
      <c r="Z162" s="38">
        <v>250</v>
      </c>
      <c r="AA162" s="38">
        <v>250</v>
      </c>
      <c r="AB162" s="38">
        <v>250</v>
      </c>
      <c r="AC162" s="38">
        <v>2</v>
      </c>
      <c r="AD162" s="38">
        <v>4</v>
      </c>
      <c r="AE162" s="38">
        <v>8</v>
      </c>
      <c r="AF162" s="38">
        <v>8</v>
      </c>
      <c r="AG162" s="38">
        <v>0</v>
      </c>
      <c r="AH162" s="38">
        <v>0</v>
      </c>
      <c r="AI162" s="38">
        <v>0</v>
      </c>
      <c r="AJ162" s="38">
        <v>0</v>
      </c>
    </row>
    <row r="163" spans="1:36">
      <c r="A163" t="s">
        <v>112</v>
      </c>
      <c r="B163" t="s">
        <v>313</v>
      </c>
      <c r="C163" s="2" t="s">
        <v>111</v>
      </c>
      <c r="D163" s="6" t="s">
        <v>46</v>
      </c>
      <c r="E163" s="40">
        <v>61000</v>
      </c>
      <c r="F163" s="40">
        <v>61000</v>
      </c>
      <c r="G163" s="40">
        <v>61000</v>
      </c>
      <c r="H163" s="40">
        <v>61000</v>
      </c>
      <c r="I163" s="41">
        <v>92.46</v>
      </c>
      <c r="J163" s="41">
        <v>92.46</v>
      </c>
      <c r="K163" s="41">
        <v>104.92</v>
      </c>
      <c r="L163" s="41">
        <v>104.92</v>
      </c>
      <c r="M163" s="38">
        <v>250</v>
      </c>
      <c r="N163" s="38">
        <v>250</v>
      </c>
      <c r="O163" s="38">
        <v>250</v>
      </c>
      <c r="P163" s="38">
        <v>250</v>
      </c>
      <c r="Q163" s="38">
        <v>115</v>
      </c>
      <c r="R163" s="38">
        <v>115</v>
      </c>
      <c r="S163" s="38">
        <v>115</v>
      </c>
      <c r="T163" s="38">
        <v>115</v>
      </c>
      <c r="U163" s="38">
        <v>115</v>
      </c>
      <c r="V163" s="38">
        <v>115</v>
      </c>
      <c r="W163" s="38">
        <v>115</v>
      </c>
      <c r="X163" s="38">
        <v>115</v>
      </c>
      <c r="Y163" s="38">
        <v>250</v>
      </c>
      <c r="Z163" s="38">
        <v>250</v>
      </c>
      <c r="AA163" s="38">
        <v>250</v>
      </c>
      <c r="AB163" s="38">
        <v>250</v>
      </c>
      <c r="AC163" s="38">
        <v>2</v>
      </c>
      <c r="AD163" s="38">
        <v>4</v>
      </c>
      <c r="AE163" s="38">
        <v>8</v>
      </c>
      <c r="AF163" s="38">
        <v>8</v>
      </c>
      <c r="AG163" s="38">
        <v>0</v>
      </c>
      <c r="AH163" s="38">
        <v>0</v>
      </c>
      <c r="AI163" s="38">
        <v>0</v>
      </c>
      <c r="AJ163" s="38">
        <v>0</v>
      </c>
    </row>
    <row r="164" spans="1:36">
      <c r="A164" t="s">
        <v>112</v>
      </c>
      <c r="B164" t="s">
        <v>313</v>
      </c>
      <c r="C164" s="2" t="s">
        <v>111</v>
      </c>
      <c r="D164" s="6" t="s">
        <v>46</v>
      </c>
      <c r="E164" s="40">
        <v>62000</v>
      </c>
      <c r="F164" s="40">
        <v>62000</v>
      </c>
      <c r="G164" s="40">
        <v>62000</v>
      </c>
      <c r="H164" s="40">
        <v>62000</v>
      </c>
      <c r="I164" s="41">
        <v>92.42</v>
      </c>
      <c r="J164" s="41">
        <v>92.42</v>
      </c>
      <c r="K164" s="41">
        <v>104.84</v>
      </c>
      <c r="L164" s="41">
        <v>104.84</v>
      </c>
      <c r="M164" s="38">
        <v>250</v>
      </c>
      <c r="N164" s="38">
        <v>250</v>
      </c>
      <c r="O164" s="38">
        <v>250</v>
      </c>
      <c r="P164" s="38">
        <v>250</v>
      </c>
      <c r="Q164" s="38">
        <v>115</v>
      </c>
      <c r="R164" s="38">
        <v>115</v>
      </c>
      <c r="S164" s="38">
        <v>115</v>
      </c>
      <c r="T164" s="38">
        <v>115</v>
      </c>
      <c r="U164" s="38">
        <v>115</v>
      </c>
      <c r="V164" s="38">
        <v>115</v>
      </c>
      <c r="W164" s="38">
        <v>115</v>
      </c>
      <c r="X164" s="38">
        <v>115</v>
      </c>
      <c r="Y164" s="38">
        <v>250</v>
      </c>
      <c r="Z164" s="38">
        <v>250</v>
      </c>
      <c r="AA164" s="38">
        <v>250</v>
      </c>
      <c r="AB164" s="38">
        <v>250</v>
      </c>
      <c r="AC164" s="38">
        <v>2</v>
      </c>
      <c r="AD164" s="38">
        <v>4</v>
      </c>
      <c r="AE164" s="38">
        <v>8</v>
      </c>
      <c r="AF164" s="38">
        <v>8</v>
      </c>
      <c r="AG164" s="38">
        <v>0</v>
      </c>
      <c r="AH164" s="38">
        <v>0</v>
      </c>
      <c r="AI164" s="38">
        <v>0</v>
      </c>
      <c r="AJ164" s="38">
        <v>0</v>
      </c>
    </row>
    <row r="165" spans="1:36">
      <c r="A165" t="s">
        <v>112</v>
      </c>
      <c r="B165" t="s">
        <v>313</v>
      </c>
      <c r="C165" s="2" t="s">
        <v>111</v>
      </c>
      <c r="D165" s="6" t="s">
        <v>46</v>
      </c>
      <c r="E165" s="40">
        <v>63000</v>
      </c>
      <c r="F165" s="40">
        <v>63000</v>
      </c>
      <c r="G165" s="40">
        <v>63000</v>
      </c>
      <c r="H165" s="40">
        <v>63000</v>
      </c>
      <c r="I165" s="41">
        <v>92.38</v>
      </c>
      <c r="J165" s="41">
        <v>92.38</v>
      </c>
      <c r="K165" s="41">
        <v>104.76</v>
      </c>
      <c r="L165" s="41">
        <v>104.76</v>
      </c>
      <c r="M165" s="38">
        <v>250</v>
      </c>
      <c r="N165" s="38">
        <v>250</v>
      </c>
      <c r="O165" s="38">
        <v>250</v>
      </c>
      <c r="P165" s="38">
        <v>250</v>
      </c>
      <c r="Q165" s="38">
        <v>115</v>
      </c>
      <c r="R165" s="38">
        <v>115</v>
      </c>
      <c r="S165" s="38">
        <v>115</v>
      </c>
      <c r="T165" s="38">
        <v>115</v>
      </c>
      <c r="U165" s="38">
        <v>115</v>
      </c>
      <c r="V165" s="38">
        <v>115</v>
      </c>
      <c r="W165" s="38">
        <v>115</v>
      </c>
      <c r="X165" s="38">
        <v>115</v>
      </c>
      <c r="Y165" s="38">
        <v>250</v>
      </c>
      <c r="Z165" s="38">
        <v>250</v>
      </c>
      <c r="AA165" s="38">
        <v>250</v>
      </c>
      <c r="AB165" s="38">
        <v>250</v>
      </c>
      <c r="AC165" s="38">
        <v>2</v>
      </c>
      <c r="AD165" s="38">
        <v>4</v>
      </c>
      <c r="AE165" s="38">
        <v>8</v>
      </c>
      <c r="AF165" s="38">
        <v>8</v>
      </c>
      <c r="AG165" s="38">
        <v>0</v>
      </c>
      <c r="AH165" s="38">
        <v>0</v>
      </c>
      <c r="AI165" s="38">
        <v>0</v>
      </c>
      <c r="AJ165" s="38">
        <v>0</v>
      </c>
    </row>
    <row r="166" spans="1:36">
      <c r="A166" t="s">
        <v>112</v>
      </c>
      <c r="B166" t="s">
        <v>313</v>
      </c>
      <c r="C166" s="2" t="s">
        <v>111</v>
      </c>
      <c r="D166" s="6" t="s">
        <v>46</v>
      </c>
      <c r="E166" s="40">
        <v>64000</v>
      </c>
      <c r="F166" s="40">
        <v>64000</v>
      </c>
      <c r="G166" s="40">
        <v>64000</v>
      </c>
      <c r="H166" s="40">
        <v>64000</v>
      </c>
      <c r="I166" s="41">
        <v>92.34</v>
      </c>
      <c r="J166" s="41">
        <v>92.34</v>
      </c>
      <c r="K166" s="41">
        <v>104.69</v>
      </c>
      <c r="L166" s="41">
        <v>104.69</v>
      </c>
      <c r="M166" s="38">
        <v>250</v>
      </c>
      <c r="N166" s="38">
        <v>250</v>
      </c>
      <c r="O166" s="38">
        <v>250</v>
      </c>
      <c r="P166" s="38">
        <v>250</v>
      </c>
      <c r="Q166" s="38">
        <v>115</v>
      </c>
      <c r="R166" s="38">
        <v>115</v>
      </c>
      <c r="S166" s="38">
        <v>115</v>
      </c>
      <c r="T166" s="38">
        <v>115</v>
      </c>
      <c r="U166" s="38">
        <v>115</v>
      </c>
      <c r="V166" s="38">
        <v>115</v>
      </c>
      <c r="W166" s="38">
        <v>115</v>
      </c>
      <c r="X166" s="38">
        <v>115</v>
      </c>
      <c r="Y166" s="38">
        <v>250</v>
      </c>
      <c r="Z166" s="38">
        <v>250</v>
      </c>
      <c r="AA166" s="38">
        <v>250</v>
      </c>
      <c r="AB166" s="38">
        <v>250</v>
      </c>
      <c r="AC166" s="38">
        <v>2</v>
      </c>
      <c r="AD166" s="38">
        <v>4</v>
      </c>
      <c r="AE166" s="38">
        <v>8</v>
      </c>
      <c r="AF166" s="38">
        <v>8</v>
      </c>
      <c r="AG166" s="38">
        <v>0</v>
      </c>
      <c r="AH166" s="38">
        <v>0</v>
      </c>
      <c r="AI166" s="38">
        <v>0</v>
      </c>
      <c r="AJ166" s="38">
        <v>0</v>
      </c>
    </row>
    <row r="167" spans="1:36">
      <c r="A167" t="s">
        <v>112</v>
      </c>
      <c r="B167" t="s">
        <v>313</v>
      </c>
      <c r="C167" s="2" t="s">
        <v>111</v>
      </c>
      <c r="D167" s="6" t="s">
        <v>46</v>
      </c>
      <c r="E167" s="40">
        <v>65000</v>
      </c>
      <c r="F167" s="40">
        <v>65000</v>
      </c>
      <c r="G167" s="40">
        <v>65000</v>
      </c>
      <c r="H167" s="40">
        <v>65000</v>
      </c>
      <c r="I167" s="41">
        <v>92.31</v>
      </c>
      <c r="J167" s="41">
        <v>92.31</v>
      </c>
      <c r="K167" s="41">
        <v>104.62</v>
      </c>
      <c r="L167" s="41">
        <v>104.62</v>
      </c>
      <c r="M167" s="38">
        <v>250</v>
      </c>
      <c r="N167" s="38">
        <v>250</v>
      </c>
      <c r="O167" s="38">
        <v>250</v>
      </c>
      <c r="P167" s="38">
        <v>250</v>
      </c>
      <c r="Q167" s="38">
        <v>115</v>
      </c>
      <c r="R167" s="38">
        <v>115</v>
      </c>
      <c r="S167" s="38">
        <v>115</v>
      </c>
      <c r="T167" s="38">
        <v>115</v>
      </c>
      <c r="U167" s="38">
        <v>115</v>
      </c>
      <c r="V167" s="38">
        <v>115</v>
      </c>
      <c r="W167" s="38">
        <v>115</v>
      </c>
      <c r="X167" s="38">
        <v>115</v>
      </c>
      <c r="Y167" s="38">
        <v>250</v>
      </c>
      <c r="Z167" s="38">
        <v>250</v>
      </c>
      <c r="AA167" s="38">
        <v>250</v>
      </c>
      <c r="AB167" s="38">
        <v>250</v>
      </c>
      <c r="AC167" s="38">
        <v>2</v>
      </c>
      <c r="AD167" s="38">
        <v>4</v>
      </c>
      <c r="AE167" s="38">
        <v>8</v>
      </c>
      <c r="AF167" s="38">
        <v>8</v>
      </c>
      <c r="AG167" s="38">
        <v>0</v>
      </c>
      <c r="AH167" s="38">
        <v>0</v>
      </c>
      <c r="AI167" s="38">
        <v>0</v>
      </c>
      <c r="AJ167" s="38">
        <v>0</v>
      </c>
    </row>
    <row r="168" spans="1:36">
      <c r="A168" t="s">
        <v>112</v>
      </c>
      <c r="B168" t="s">
        <v>313</v>
      </c>
      <c r="C168" s="2" t="s">
        <v>111</v>
      </c>
      <c r="D168" s="6" t="s">
        <v>46</v>
      </c>
      <c r="E168" s="40">
        <v>66000</v>
      </c>
      <c r="F168" s="40">
        <v>66000</v>
      </c>
      <c r="G168" s="40">
        <v>66000</v>
      </c>
      <c r="H168" s="40">
        <v>66000</v>
      </c>
      <c r="I168" s="41">
        <v>92.27</v>
      </c>
      <c r="J168" s="41">
        <v>92.27</v>
      </c>
      <c r="K168" s="41">
        <v>104.55</v>
      </c>
      <c r="L168" s="41">
        <v>104.55</v>
      </c>
      <c r="M168" s="38">
        <v>250</v>
      </c>
      <c r="N168" s="38">
        <v>250</v>
      </c>
      <c r="O168" s="38">
        <v>250</v>
      </c>
      <c r="P168" s="38">
        <v>250</v>
      </c>
      <c r="Q168" s="38">
        <v>115</v>
      </c>
      <c r="R168" s="38">
        <v>115</v>
      </c>
      <c r="S168" s="38">
        <v>115</v>
      </c>
      <c r="T168" s="38">
        <v>115</v>
      </c>
      <c r="U168" s="38">
        <v>115</v>
      </c>
      <c r="V168" s="38">
        <v>115</v>
      </c>
      <c r="W168" s="38">
        <v>115</v>
      </c>
      <c r="X168" s="38">
        <v>115</v>
      </c>
      <c r="Y168" s="38">
        <v>250</v>
      </c>
      <c r="Z168" s="38">
        <v>250</v>
      </c>
      <c r="AA168" s="38">
        <v>250</v>
      </c>
      <c r="AB168" s="38">
        <v>250</v>
      </c>
      <c r="AC168" s="38">
        <v>2</v>
      </c>
      <c r="AD168" s="38">
        <v>4</v>
      </c>
      <c r="AE168" s="38">
        <v>8</v>
      </c>
      <c r="AF168" s="38">
        <v>8</v>
      </c>
      <c r="AG168" s="38">
        <v>0</v>
      </c>
      <c r="AH168" s="38">
        <v>0</v>
      </c>
      <c r="AI168" s="38">
        <v>0</v>
      </c>
      <c r="AJ168" s="38">
        <v>0</v>
      </c>
    </row>
    <row r="169" spans="1:36">
      <c r="A169" t="s">
        <v>112</v>
      </c>
      <c r="B169" t="s">
        <v>313</v>
      </c>
      <c r="C169" s="2" t="s">
        <v>111</v>
      </c>
      <c r="D169" s="6" t="s">
        <v>46</v>
      </c>
      <c r="E169" s="40">
        <v>67000</v>
      </c>
      <c r="F169" s="40">
        <v>67000</v>
      </c>
      <c r="G169" s="40">
        <v>67000</v>
      </c>
      <c r="H169" s="40">
        <v>67000</v>
      </c>
      <c r="I169" s="41">
        <v>92.24</v>
      </c>
      <c r="J169" s="41">
        <v>92.24</v>
      </c>
      <c r="K169" s="41">
        <v>104.48</v>
      </c>
      <c r="L169" s="41">
        <v>104.48</v>
      </c>
      <c r="M169" s="38">
        <v>250</v>
      </c>
      <c r="N169" s="38">
        <v>250</v>
      </c>
      <c r="O169" s="38">
        <v>250</v>
      </c>
      <c r="P169" s="38">
        <v>250</v>
      </c>
      <c r="Q169" s="38">
        <v>115</v>
      </c>
      <c r="R169" s="38">
        <v>115</v>
      </c>
      <c r="S169" s="38">
        <v>115</v>
      </c>
      <c r="T169" s="38">
        <v>115</v>
      </c>
      <c r="U169" s="38">
        <v>115</v>
      </c>
      <c r="V169" s="38">
        <v>115</v>
      </c>
      <c r="W169" s="38">
        <v>115</v>
      </c>
      <c r="X169" s="38">
        <v>115</v>
      </c>
      <c r="Y169" s="38">
        <v>250</v>
      </c>
      <c r="Z169" s="38">
        <v>250</v>
      </c>
      <c r="AA169" s="38">
        <v>250</v>
      </c>
      <c r="AB169" s="38">
        <v>250</v>
      </c>
      <c r="AC169" s="38">
        <v>2</v>
      </c>
      <c r="AD169" s="38">
        <v>4</v>
      </c>
      <c r="AE169" s="38">
        <v>8</v>
      </c>
      <c r="AF169" s="38">
        <v>8</v>
      </c>
      <c r="AG169" s="38">
        <v>0</v>
      </c>
      <c r="AH169" s="38">
        <v>0</v>
      </c>
      <c r="AI169" s="38">
        <v>0</v>
      </c>
      <c r="AJ169" s="38">
        <v>0</v>
      </c>
    </row>
    <row r="170" spans="1:36">
      <c r="A170" t="s">
        <v>112</v>
      </c>
      <c r="B170" t="s">
        <v>313</v>
      </c>
      <c r="C170" s="2" t="s">
        <v>111</v>
      </c>
      <c r="D170" s="6" t="s">
        <v>46</v>
      </c>
      <c r="E170" s="40">
        <v>68000</v>
      </c>
      <c r="F170" s="40">
        <v>68000</v>
      </c>
      <c r="G170" s="40">
        <v>68000</v>
      </c>
      <c r="H170" s="40">
        <v>68000</v>
      </c>
      <c r="I170" s="41">
        <v>92.21</v>
      </c>
      <c r="J170" s="41">
        <v>92.21</v>
      </c>
      <c r="K170" s="41">
        <v>104.41</v>
      </c>
      <c r="L170" s="41">
        <v>104.41</v>
      </c>
      <c r="M170" s="38">
        <v>250</v>
      </c>
      <c r="N170" s="38">
        <v>250</v>
      </c>
      <c r="O170" s="38">
        <v>250</v>
      </c>
      <c r="P170" s="38">
        <v>250</v>
      </c>
      <c r="Q170" s="38">
        <v>115</v>
      </c>
      <c r="R170" s="38">
        <v>115</v>
      </c>
      <c r="S170" s="38">
        <v>115</v>
      </c>
      <c r="T170" s="38">
        <v>115</v>
      </c>
      <c r="U170" s="38">
        <v>115</v>
      </c>
      <c r="V170" s="38">
        <v>115</v>
      </c>
      <c r="W170" s="38">
        <v>115</v>
      </c>
      <c r="X170" s="38">
        <v>115</v>
      </c>
      <c r="Y170" s="38">
        <v>250</v>
      </c>
      <c r="Z170" s="38">
        <v>250</v>
      </c>
      <c r="AA170" s="38">
        <v>250</v>
      </c>
      <c r="AB170" s="38">
        <v>250</v>
      </c>
      <c r="AC170" s="38">
        <v>2</v>
      </c>
      <c r="AD170" s="38">
        <v>4</v>
      </c>
      <c r="AE170" s="38">
        <v>8</v>
      </c>
      <c r="AF170" s="38">
        <v>8</v>
      </c>
      <c r="AG170" s="38">
        <v>0</v>
      </c>
      <c r="AH170" s="38">
        <v>0</v>
      </c>
      <c r="AI170" s="38">
        <v>0</v>
      </c>
      <c r="AJ170" s="38">
        <v>0</v>
      </c>
    </row>
    <row r="171" spans="1:36">
      <c r="A171" t="s">
        <v>112</v>
      </c>
      <c r="B171" t="s">
        <v>313</v>
      </c>
      <c r="C171" s="2" t="s">
        <v>111</v>
      </c>
      <c r="D171" s="6" t="s">
        <v>46</v>
      </c>
      <c r="E171" s="40">
        <v>69000</v>
      </c>
      <c r="F171" s="40">
        <v>69000</v>
      </c>
      <c r="G171" s="40">
        <v>69000</v>
      </c>
      <c r="H171" s="40">
        <v>69000</v>
      </c>
      <c r="I171" s="41">
        <v>92.17</v>
      </c>
      <c r="J171" s="41">
        <v>92.17</v>
      </c>
      <c r="K171" s="41">
        <v>104.35</v>
      </c>
      <c r="L171" s="41">
        <v>104.35</v>
      </c>
      <c r="M171" s="38">
        <v>250</v>
      </c>
      <c r="N171" s="38">
        <v>250</v>
      </c>
      <c r="O171" s="38">
        <v>250</v>
      </c>
      <c r="P171" s="38">
        <v>250</v>
      </c>
      <c r="Q171" s="38">
        <v>115</v>
      </c>
      <c r="R171" s="38">
        <v>115</v>
      </c>
      <c r="S171" s="38">
        <v>115</v>
      </c>
      <c r="T171" s="38">
        <v>115</v>
      </c>
      <c r="U171" s="38">
        <v>115</v>
      </c>
      <c r="V171" s="38">
        <v>115</v>
      </c>
      <c r="W171" s="38">
        <v>115</v>
      </c>
      <c r="X171" s="38">
        <v>115</v>
      </c>
      <c r="Y171" s="38">
        <v>250</v>
      </c>
      <c r="Z171" s="38">
        <v>250</v>
      </c>
      <c r="AA171" s="38">
        <v>250</v>
      </c>
      <c r="AB171" s="38">
        <v>250</v>
      </c>
      <c r="AC171" s="38">
        <v>2</v>
      </c>
      <c r="AD171" s="38">
        <v>4</v>
      </c>
      <c r="AE171" s="38">
        <v>8</v>
      </c>
      <c r="AF171" s="38">
        <v>8</v>
      </c>
      <c r="AG171" s="38">
        <v>0</v>
      </c>
      <c r="AH171" s="38">
        <v>0</v>
      </c>
      <c r="AI171" s="38">
        <v>0</v>
      </c>
      <c r="AJ171" s="38">
        <v>0</v>
      </c>
    </row>
    <row r="172" spans="1:36">
      <c r="A172" t="s">
        <v>112</v>
      </c>
      <c r="B172" t="s">
        <v>313</v>
      </c>
      <c r="C172" s="2" t="s">
        <v>111</v>
      </c>
      <c r="D172" s="6" t="s">
        <v>46</v>
      </c>
      <c r="E172" s="40">
        <v>70000</v>
      </c>
      <c r="F172" s="40">
        <v>70000</v>
      </c>
      <c r="G172" s="40">
        <v>70000</v>
      </c>
      <c r="H172" s="40">
        <v>70000</v>
      </c>
      <c r="I172" s="41">
        <v>92.14</v>
      </c>
      <c r="J172" s="41">
        <v>92.14</v>
      </c>
      <c r="K172" s="41">
        <v>104.29</v>
      </c>
      <c r="L172" s="41">
        <v>104.29</v>
      </c>
      <c r="M172" s="38">
        <v>250</v>
      </c>
      <c r="N172" s="38">
        <v>250</v>
      </c>
      <c r="O172" s="38">
        <v>250</v>
      </c>
      <c r="P172" s="38">
        <v>250</v>
      </c>
      <c r="Q172" s="38">
        <v>115</v>
      </c>
      <c r="R172" s="38">
        <v>115</v>
      </c>
      <c r="S172" s="38">
        <v>115</v>
      </c>
      <c r="T172" s="38">
        <v>115</v>
      </c>
      <c r="U172" s="38">
        <v>115</v>
      </c>
      <c r="V172" s="38">
        <v>115</v>
      </c>
      <c r="W172" s="38">
        <v>115</v>
      </c>
      <c r="X172" s="38">
        <v>115</v>
      </c>
      <c r="Y172" s="38">
        <v>250</v>
      </c>
      <c r="Z172" s="38">
        <v>250</v>
      </c>
      <c r="AA172" s="38">
        <v>250</v>
      </c>
      <c r="AB172" s="38">
        <v>250</v>
      </c>
      <c r="AC172" s="38">
        <v>2</v>
      </c>
      <c r="AD172" s="38">
        <v>4</v>
      </c>
      <c r="AE172" s="38">
        <v>8</v>
      </c>
      <c r="AF172" s="38">
        <v>8</v>
      </c>
      <c r="AG172" s="38">
        <v>0</v>
      </c>
      <c r="AH172" s="38">
        <v>0</v>
      </c>
      <c r="AI172" s="38">
        <v>0</v>
      </c>
      <c r="AJ172" s="38">
        <v>0</v>
      </c>
    </row>
    <row r="173" spans="1:36">
      <c r="A173" t="s">
        <v>112</v>
      </c>
      <c r="B173" t="s">
        <v>313</v>
      </c>
      <c r="C173" s="2" t="s">
        <v>111</v>
      </c>
      <c r="D173" s="6" t="s">
        <v>46</v>
      </c>
      <c r="E173" s="40">
        <v>71000</v>
      </c>
      <c r="F173" s="40">
        <v>71000</v>
      </c>
      <c r="G173" s="40">
        <v>71000</v>
      </c>
      <c r="H173" s="40">
        <v>71000</v>
      </c>
      <c r="I173" s="41">
        <v>92.11</v>
      </c>
      <c r="J173" s="41">
        <v>92.11</v>
      </c>
      <c r="K173" s="41">
        <v>104.23</v>
      </c>
      <c r="L173" s="41">
        <v>104.23</v>
      </c>
      <c r="M173" s="38">
        <v>250</v>
      </c>
      <c r="N173" s="38">
        <v>250</v>
      </c>
      <c r="O173" s="38">
        <v>250</v>
      </c>
      <c r="P173" s="38">
        <v>250</v>
      </c>
      <c r="Q173" s="38">
        <v>115</v>
      </c>
      <c r="R173" s="38">
        <v>115</v>
      </c>
      <c r="S173" s="38">
        <v>115</v>
      </c>
      <c r="T173" s="38">
        <v>115</v>
      </c>
      <c r="U173" s="38">
        <v>115</v>
      </c>
      <c r="V173" s="38">
        <v>115</v>
      </c>
      <c r="W173" s="38">
        <v>115</v>
      </c>
      <c r="X173" s="38">
        <v>115</v>
      </c>
      <c r="Y173" s="38">
        <v>250</v>
      </c>
      <c r="Z173" s="38">
        <v>250</v>
      </c>
      <c r="AA173" s="38">
        <v>250</v>
      </c>
      <c r="AB173" s="38">
        <v>250</v>
      </c>
      <c r="AC173" s="38">
        <v>2</v>
      </c>
      <c r="AD173" s="38">
        <v>4</v>
      </c>
      <c r="AE173" s="38">
        <v>8</v>
      </c>
      <c r="AF173" s="38">
        <v>8</v>
      </c>
      <c r="AG173" s="38">
        <v>0</v>
      </c>
      <c r="AH173" s="38">
        <v>0</v>
      </c>
      <c r="AI173" s="38">
        <v>0</v>
      </c>
      <c r="AJ173" s="38">
        <v>0</v>
      </c>
    </row>
    <row r="174" spans="1:36">
      <c r="A174" t="s">
        <v>112</v>
      </c>
      <c r="B174" t="s">
        <v>313</v>
      </c>
      <c r="C174" s="2" t="s">
        <v>111</v>
      </c>
      <c r="D174" s="6" t="s">
        <v>46</v>
      </c>
      <c r="E174" s="40">
        <v>72000</v>
      </c>
      <c r="F174" s="40">
        <v>72000</v>
      </c>
      <c r="G174" s="40">
        <v>72000</v>
      </c>
      <c r="H174" s="40">
        <v>72000</v>
      </c>
      <c r="I174" s="41">
        <v>92.08</v>
      </c>
      <c r="J174" s="41">
        <v>92.08</v>
      </c>
      <c r="K174" s="41">
        <v>104.17</v>
      </c>
      <c r="L174" s="41">
        <v>104.17</v>
      </c>
      <c r="M174" s="38">
        <v>250</v>
      </c>
      <c r="N174" s="38">
        <v>250</v>
      </c>
      <c r="O174" s="38">
        <v>250</v>
      </c>
      <c r="P174" s="38">
        <v>250</v>
      </c>
      <c r="Q174" s="38">
        <v>115</v>
      </c>
      <c r="R174" s="38">
        <v>115</v>
      </c>
      <c r="S174" s="38">
        <v>115</v>
      </c>
      <c r="T174" s="38">
        <v>115</v>
      </c>
      <c r="U174" s="38">
        <v>115</v>
      </c>
      <c r="V174" s="38">
        <v>115</v>
      </c>
      <c r="W174" s="38">
        <v>115</v>
      </c>
      <c r="X174" s="38">
        <v>115</v>
      </c>
      <c r="Y174" s="38">
        <v>250</v>
      </c>
      <c r="Z174" s="38">
        <v>250</v>
      </c>
      <c r="AA174" s="38">
        <v>250</v>
      </c>
      <c r="AB174" s="38">
        <v>250</v>
      </c>
      <c r="AC174" s="38">
        <v>2</v>
      </c>
      <c r="AD174" s="38">
        <v>4</v>
      </c>
      <c r="AE174" s="38">
        <v>8</v>
      </c>
      <c r="AF174" s="38">
        <v>8</v>
      </c>
      <c r="AG174" s="38">
        <v>0</v>
      </c>
      <c r="AH174" s="38">
        <v>0</v>
      </c>
      <c r="AI174" s="38">
        <v>0</v>
      </c>
      <c r="AJ174" s="38">
        <v>0</v>
      </c>
    </row>
    <row r="175" spans="1:36">
      <c r="A175" t="s">
        <v>112</v>
      </c>
      <c r="B175" t="s">
        <v>313</v>
      </c>
      <c r="C175" s="2" t="s">
        <v>111</v>
      </c>
      <c r="D175" s="6" t="s">
        <v>46</v>
      </c>
      <c r="E175" s="40">
        <v>73000</v>
      </c>
      <c r="F175" s="40">
        <v>73000</v>
      </c>
      <c r="G175" s="40">
        <v>73000</v>
      </c>
      <c r="H175" s="40">
        <v>73000</v>
      </c>
      <c r="I175" s="41">
        <v>92.05</v>
      </c>
      <c r="J175" s="41">
        <v>92.05</v>
      </c>
      <c r="K175" s="41">
        <v>104.11</v>
      </c>
      <c r="L175" s="41">
        <v>104.11</v>
      </c>
      <c r="M175" s="38">
        <v>250</v>
      </c>
      <c r="N175" s="38">
        <v>250</v>
      </c>
      <c r="O175" s="38">
        <v>250</v>
      </c>
      <c r="P175" s="38">
        <v>250</v>
      </c>
      <c r="Q175" s="38">
        <v>115</v>
      </c>
      <c r="R175" s="38">
        <v>115</v>
      </c>
      <c r="S175" s="38">
        <v>115</v>
      </c>
      <c r="T175" s="38">
        <v>115</v>
      </c>
      <c r="U175" s="38">
        <v>115</v>
      </c>
      <c r="V175" s="38">
        <v>115</v>
      </c>
      <c r="W175" s="38">
        <v>115</v>
      </c>
      <c r="X175" s="38">
        <v>115</v>
      </c>
      <c r="Y175" s="38">
        <v>250</v>
      </c>
      <c r="Z175" s="38">
        <v>250</v>
      </c>
      <c r="AA175" s="38">
        <v>250</v>
      </c>
      <c r="AB175" s="38">
        <v>250</v>
      </c>
      <c r="AC175" s="38">
        <v>2</v>
      </c>
      <c r="AD175" s="38">
        <v>4</v>
      </c>
      <c r="AE175" s="38">
        <v>8</v>
      </c>
      <c r="AF175" s="38">
        <v>8</v>
      </c>
      <c r="AG175" s="38">
        <v>0</v>
      </c>
      <c r="AH175" s="38">
        <v>0</v>
      </c>
      <c r="AI175" s="38">
        <v>0</v>
      </c>
      <c r="AJ175" s="38">
        <v>0</v>
      </c>
    </row>
    <row r="176" spans="1:36">
      <c r="A176" t="s">
        <v>112</v>
      </c>
      <c r="B176" t="s">
        <v>313</v>
      </c>
      <c r="C176" s="2" t="s">
        <v>111</v>
      </c>
      <c r="D176" s="6" t="s">
        <v>46</v>
      </c>
      <c r="E176" s="40">
        <v>74000</v>
      </c>
      <c r="F176" s="40">
        <v>74000</v>
      </c>
      <c r="G176" s="40">
        <v>74000</v>
      </c>
      <c r="H176" s="40">
        <v>74000</v>
      </c>
      <c r="I176" s="41">
        <v>92.03</v>
      </c>
      <c r="J176" s="41">
        <v>92.03</v>
      </c>
      <c r="K176" s="41">
        <v>104.05</v>
      </c>
      <c r="L176" s="41">
        <v>104.05</v>
      </c>
      <c r="M176" s="38">
        <v>250</v>
      </c>
      <c r="N176" s="38">
        <v>250</v>
      </c>
      <c r="O176" s="38">
        <v>250</v>
      </c>
      <c r="P176" s="38">
        <v>250</v>
      </c>
      <c r="Q176" s="38">
        <v>115</v>
      </c>
      <c r="R176" s="38">
        <v>115</v>
      </c>
      <c r="S176" s="38">
        <v>115</v>
      </c>
      <c r="T176" s="38">
        <v>115</v>
      </c>
      <c r="U176" s="38">
        <v>115</v>
      </c>
      <c r="V176" s="38">
        <v>115</v>
      </c>
      <c r="W176" s="38">
        <v>115</v>
      </c>
      <c r="X176" s="38">
        <v>115</v>
      </c>
      <c r="Y176" s="38">
        <v>250</v>
      </c>
      <c r="Z176" s="38">
        <v>250</v>
      </c>
      <c r="AA176" s="38">
        <v>250</v>
      </c>
      <c r="AB176" s="38">
        <v>250</v>
      </c>
      <c r="AC176" s="38">
        <v>2</v>
      </c>
      <c r="AD176" s="38">
        <v>4</v>
      </c>
      <c r="AE176" s="38">
        <v>8</v>
      </c>
      <c r="AF176" s="38">
        <v>8</v>
      </c>
      <c r="AG176" s="38">
        <v>0</v>
      </c>
      <c r="AH176" s="38">
        <v>0</v>
      </c>
      <c r="AI176" s="38">
        <v>0</v>
      </c>
      <c r="AJ176" s="38">
        <v>0</v>
      </c>
    </row>
    <row r="177" spans="1:36">
      <c r="A177" t="s">
        <v>112</v>
      </c>
      <c r="B177" t="s">
        <v>313</v>
      </c>
      <c r="C177" s="2" t="s">
        <v>111</v>
      </c>
      <c r="D177" s="6" t="s">
        <v>46</v>
      </c>
      <c r="E177" s="40">
        <v>75000</v>
      </c>
      <c r="F177" s="40">
        <v>75000</v>
      </c>
      <c r="G177" s="40">
        <v>75000</v>
      </c>
      <c r="H177" s="40">
        <v>75000</v>
      </c>
      <c r="I177" s="41">
        <v>92</v>
      </c>
      <c r="J177" s="41">
        <v>92</v>
      </c>
      <c r="K177" s="41">
        <v>104</v>
      </c>
      <c r="L177" s="41">
        <v>104</v>
      </c>
      <c r="M177" s="38">
        <v>250</v>
      </c>
      <c r="N177" s="38">
        <v>250</v>
      </c>
      <c r="O177" s="38">
        <v>250</v>
      </c>
      <c r="P177" s="38">
        <v>250</v>
      </c>
      <c r="Q177" s="38">
        <v>115</v>
      </c>
      <c r="R177" s="38">
        <v>115</v>
      </c>
      <c r="S177" s="38">
        <v>115</v>
      </c>
      <c r="T177" s="38">
        <v>115</v>
      </c>
      <c r="U177" s="38">
        <v>115</v>
      </c>
      <c r="V177" s="38">
        <v>115</v>
      </c>
      <c r="W177" s="38">
        <v>115</v>
      </c>
      <c r="X177" s="38">
        <v>115</v>
      </c>
      <c r="Y177" s="38">
        <v>250</v>
      </c>
      <c r="Z177" s="38">
        <v>250</v>
      </c>
      <c r="AA177" s="38">
        <v>250</v>
      </c>
      <c r="AB177" s="38">
        <v>250</v>
      </c>
      <c r="AC177" s="38">
        <v>2</v>
      </c>
      <c r="AD177" s="38">
        <v>4</v>
      </c>
      <c r="AE177" s="38">
        <v>8</v>
      </c>
      <c r="AF177" s="38">
        <v>8</v>
      </c>
      <c r="AG177" s="38">
        <v>0</v>
      </c>
      <c r="AH177" s="38">
        <v>0</v>
      </c>
      <c r="AI177" s="38">
        <v>0</v>
      </c>
      <c r="AJ177" s="38">
        <v>0</v>
      </c>
    </row>
    <row r="178" spans="1:36">
      <c r="A178" t="s">
        <v>112</v>
      </c>
      <c r="B178" t="s">
        <v>313</v>
      </c>
      <c r="C178" s="2" t="s">
        <v>111</v>
      </c>
      <c r="D178" s="6" t="s">
        <v>46</v>
      </c>
      <c r="E178" s="40">
        <v>76000</v>
      </c>
      <c r="F178" s="40">
        <v>76000</v>
      </c>
      <c r="G178" s="40">
        <v>76000</v>
      </c>
      <c r="H178" s="40">
        <v>76000</v>
      </c>
      <c r="I178" s="41">
        <v>91.97</v>
      </c>
      <c r="J178" s="41">
        <v>91.97</v>
      </c>
      <c r="K178" s="41">
        <v>103.95</v>
      </c>
      <c r="L178" s="41">
        <v>103.95</v>
      </c>
      <c r="M178" s="38">
        <v>250</v>
      </c>
      <c r="N178" s="38">
        <v>250</v>
      </c>
      <c r="O178" s="38">
        <v>250</v>
      </c>
      <c r="P178" s="38">
        <v>250</v>
      </c>
      <c r="Q178" s="38">
        <v>115</v>
      </c>
      <c r="R178" s="38">
        <v>115</v>
      </c>
      <c r="S178" s="38">
        <v>115</v>
      </c>
      <c r="T178" s="38">
        <v>115</v>
      </c>
      <c r="U178" s="38">
        <v>115</v>
      </c>
      <c r="V178" s="38">
        <v>115</v>
      </c>
      <c r="W178" s="38">
        <v>115</v>
      </c>
      <c r="X178" s="38">
        <v>115</v>
      </c>
      <c r="Y178" s="38">
        <v>250</v>
      </c>
      <c r="Z178" s="38">
        <v>250</v>
      </c>
      <c r="AA178" s="38">
        <v>250</v>
      </c>
      <c r="AB178" s="38">
        <v>250</v>
      </c>
      <c r="AC178" s="38">
        <v>2</v>
      </c>
      <c r="AD178" s="38">
        <v>4</v>
      </c>
      <c r="AE178" s="38">
        <v>8</v>
      </c>
      <c r="AF178" s="38">
        <v>8</v>
      </c>
      <c r="AG178" s="38">
        <v>0</v>
      </c>
      <c r="AH178" s="38">
        <v>0</v>
      </c>
      <c r="AI178" s="38">
        <v>0</v>
      </c>
      <c r="AJ178" s="38">
        <v>0</v>
      </c>
    </row>
    <row r="179" spans="1:36">
      <c r="A179" t="s">
        <v>112</v>
      </c>
      <c r="B179" t="s">
        <v>313</v>
      </c>
      <c r="C179" s="2" t="s">
        <v>111</v>
      </c>
      <c r="D179" s="6" t="s">
        <v>46</v>
      </c>
      <c r="E179" s="40">
        <v>77000</v>
      </c>
      <c r="F179" s="40">
        <v>77000</v>
      </c>
      <c r="G179" s="40">
        <v>77000</v>
      </c>
      <c r="H179" s="40">
        <v>77000</v>
      </c>
      <c r="I179" s="41">
        <v>91.95</v>
      </c>
      <c r="J179" s="41">
        <v>91.95</v>
      </c>
      <c r="K179" s="41">
        <v>103.9</v>
      </c>
      <c r="L179" s="41">
        <v>103.9</v>
      </c>
      <c r="M179" s="38">
        <v>250</v>
      </c>
      <c r="N179" s="38">
        <v>250</v>
      </c>
      <c r="O179" s="38">
        <v>250</v>
      </c>
      <c r="P179" s="38">
        <v>250</v>
      </c>
      <c r="Q179" s="38">
        <v>115</v>
      </c>
      <c r="R179" s="38">
        <v>115</v>
      </c>
      <c r="S179" s="38">
        <v>115</v>
      </c>
      <c r="T179" s="38">
        <v>115</v>
      </c>
      <c r="U179" s="38">
        <v>115</v>
      </c>
      <c r="V179" s="38">
        <v>115</v>
      </c>
      <c r="W179" s="38">
        <v>115</v>
      </c>
      <c r="X179" s="38">
        <v>115</v>
      </c>
      <c r="Y179" s="38">
        <v>250</v>
      </c>
      <c r="Z179" s="38">
        <v>250</v>
      </c>
      <c r="AA179" s="38">
        <v>250</v>
      </c>
      <c r="AB179" s="38">
        <v>250</v>
      </c>
      <c r="AC179" s="38">
        <v>2</v>
      </c>
      <c r="AD179" s="38">
        <v>4</v>
      </c>
      <c r="AE179" s="38">
        <v>8</v>
      </c>
      <c r="AF179" s="38">
        <v>8</v>
      </c>
      <c r="AG179" s="38">
        <v>0</v>
      </c>
      <c r="AH179" s="38">
        <v>0</v>
      </c>
      <c r="AI179" s="38">
        <v>0</v>
      </c>
      <c r="AJ179" s="38">
        <v>0</v>
      </c>
    </row>
    <row r="180" spans="1:36">
      <c r="A180" t="s">
        <v>112</v>
      </c>
      <c r="B180" t="s">
        <v>313</v>
      </c>
      <c r="C180" s="2" t="s">
        <v>111</v>
      </c>
      <c r="D180" s="6" t="s">
        <v>46</v>
      </c>
      <c r="E180" s="40">
        <v>78000</v>
      </c>
      <c r="F180" s="40">
        <v>78000</v>
      </c>
      <c r="G180" s="40">
        <v>78000</v>
      </c>
      <c r="H180" s="40">
        <v>78000</v>
      </c>
      <c r="I180" s="41">
        <v>91.92</v>
      </c>
      <c r="J180" s="41">
        <v>91.92</v>
      </c>
      <c r="K180" s="41">
        <v>103.85</v>
      </c>
      <c r="L180" s="41">
        <v>103.85</v>
      </c>
      <c r="M180" s="38">
        <v>250</v>
      </c>
      <c r="N180" s="38">
        <v>250</v>
      </c>
      <c r="O180" s="38">
        <v>250</v>
      </c>
      <c r="P180" s="38">
        <v>250</v>
      </c>
      <c r="Q180" s="38">
        <v>115</v>
      </c>
      <c r="R180" s="38">
        <v>115</v>
      </c>
      <c r="S180" s="38">
        <v>115</v>
      </c>
      <c r="T180" s="38">
        <v>115</v>
      </c>
      <c r="U180" s="38">
        <v>115</v>
      </c>
      <c r="V180" s="38">
        <v>115</v>
      </c>
      <c r="W180" s="38">
        <v>115</v>
      </c>
      <c r="X180" s="38">
        <v>115</v>
      </c>
      <c r="Y180" s="38">
        <v>250</v>
      </c>
      <c r="Z180" s="38">
        <v>250</v>
      </c>
      <c r="AA180" s="38">
        <v>250</v>
      </c>
      <c r="AB180" s="38">
        <v>250</v>
      </c>
      <c r="AC180" s="38">
        <v>2</v>
      </c>
      <c r="AD180" s="38">
        <v>4</v>
      </c>
      <c r="AE180" s="38">
        <v>8</v>
      </c>
      <c r="AF180" s="38">
        <v>8</v>
      </c>
      <c r="AG180" s="38">
        <v>0</v>
      </c>
      <c r="AH180" s="38">
        <v>0</v>
      </c>
      <c r="AI180" s="38">
        <v>0</v>
      </c>
      <c r="AJ180" s="38">
        <v>0</v>
      </c>
    </row>
    <row r="181" spans="1:36">
      <c r="A181" t="s">
        <v>112</v>
      </c>
      <c r="B181" t="s">
        <v>313</v>
      </c>
      <c r="C181" s="2" t="s">
        <v>111</v>
      </c>
      <c r="D181" s="6" t="s">
        <v>46</v>
      </c>
      <c r="E181" s="40">
        <v>79000</v>
      </c>
      <c r="F181" s="40">
        <v>79000</v>
      </c>
      <c r="G181" s="40">
        <v>79000</v>
      </c>
      <c r="H181" s="40">
        <v>79000</v>
      </c>
      <c r="I181" s="41">
        <v>91.9</v>
      </c>
      <c r="J181" s="41">
        <v>91.9</v>
      </c>
      <c r="K181" s="41">
        <v>103.8</v>
      </c>
      <c r="L181" s="41">
        <v>103.8</v>
      </c>
      <c r="M181" s="38">
        <v>250</v>
      </c>
      <c r="N181" s="38">
        <v>250</v>
      </c>
      <c r="O181" s="38">
        <v>250</v>
      </c>
      <c r="P181" s="38">
        <v>250</v>
      </c>
      <c r="Q181" s="38">
        <v>115</v>
      </c>
      <c r="R181" s="38">
        <v>115</v>
      </c>
      <c r="S181" s="38">
        <v>115</v>
      </c>
      <c r="T181" s="38">
        <v>115</v>
      </c>
      <c r="U181" s="38">
        <v>115</v>
      </c>
      <c r="V181" s="38">
        <v>115</v>
      </c>
      <c r="W181" s="38">
        <v>115</v>
      </c>
      <c r="X181" s="38">
        <v>115</v>
      </c>
      <c r="Y181" s="38">
        <v>250</v>
      </c>
      <c r="Z181" s="38">
        <v>250</v>
      </c>
      <c r="AA181" s="38">
        <v>250</v>
      </c>
      <c r="AB181" s="38">
        <v>250</v>
      </c>
      <c r="AC181" s="38">
        <v>2</v>
      </c>
      <c r="AD181" s="38">
        <v>4</v>
      </c>
      <c r="AE181" s="38">
        <v>8</v>
      </c>
      <c r="AF181" s="38">
        <v>8</v>
      </c>
      <c r="AG181" s="38">
        <v>0</v>
      </c>
      <c r="AH181" s="38">
        <v>0</v>
      </c>
      <c r="AI181" s="38">
        <v>0</v>
      </c>
      <c r="AJ181" s="38">
        <v>0</v>
      </c>
    </row>
    <row r="182" spans="1:36">
      <c r="A182" t="s">
        <v>112</v>
      </c>
      <c r="B182" t="s">
        <v>313</v>
      </c>
      <c r="C182" s="2" t="s">
        <v>111</v>
      </c>
      <c r="D182" s="6" t="s">
        <v>46</v>
      </c>
      <c r="E182" s="40">
        <v>80000</v>
      </c>
      <c r="F182" s="40">
        <v>80000</v>
      </c>
      <c r="G182" s="40">
        <v>80000</v>
      </c>
      <c r="H182" s="40">
        <v>80000</v>
      </c>
      <c r="I182" s="41">
        <v>91.88</v>
      </c>
      <c r="J182" s="41">
        <v>91.88</v>
      </c>
      <c r="K182" s="41">
        <v>103.75</v>
      </c>
      <c r="L182" s="41">
        <v>103.75</v>
      </c>
      <c r="M182" s="38">
        <v>250</v>
      </c>
      <c r="N182" s="38">
        <v>250</v>
      </c>
      <c r="O182" s="38">
        <v>250</v>
      </c>
      <c r="P182" s="38">
        <v>250</v>
      </c>
      <c r="Q182" s="38">
        <v>115</v>
      </c>
      <c r="R182" s="38">
        <v>115</v>
      </c>
      <c r="S182" s="38">
        <v>115</v>
      </c>
      <c r="T182" s="38">
        <v>115</v>
      </c>
      <c r="U182" s="38">
        <v>115</v>
      </c>
      <c r="V182" s="38">
        <v>115</v>
      </c>
      <c r="W182" s="38">
        <v>115</v>
      </c>
      <c r="X182" s="38">
        <v>115</v>
      </c>
      <c r="Y182" s="38">
        <v>250</v>
      </c>
      <c r="Z182" s="38">
        <v>250</v>
      </c>
      <c r="AA182" s="38">
        <v>250</v>
      </c>
      <c r="AB182" s="38">
        <v>250</v>
      </c>
      <c r="AC182" s="38">
        <v>2</v>
      </c>
      <c r="AD182" s="38">
        <v>4</v>
      </c>
      <c r="AE182" s="38">
        <v>8</v>
      </c>
      <c r="AF182" s="38">
        <v>8</v>
      </c>
      <c r="AG182" s="38">
        <v>0</v>
      </c>
      <c r="AH182" s="38">
        <v>0</v>
      </c>
      <c r="AI182" s="38">
        <v>0</v>
      </c>
      <c r="AJ182" s="38">
        <v>0</v>
      </c>
    </row>
    <row r="183" spans="1:36">
      <c r="A183" t="s">
        <v>112</v>
      </c>
      <c r="B183" t="s">
        <v>313</v>
      </c>
      <c r="C183" s="2" t="s">
        <v>111</v>
      </c>
      <c r="D183" s="6" t="s">
        <v>46</v>
      </c>
      <c r="E183" s="40">
        <v>81000</v>
      </c>
      <c r="F183" s="40">
        <v>81000</v>
      </c>
      <c r="G183" s="40">
        <v>81000</v>
      </c>
      <c r="H183" s="40">
        <v>81000</v>
      </c>
      <c r="I183" s="41">
        <v>91.85</v>
      </c>
      <c r="J183" s="41">
        <v>91.85</v>
      </c>
      <c r="K183" s="41">
        <v>103.7</v>
      </c>
      <c r="L183" s="41">
        <v>103.7</v>
      </c>
      <c r="M183" s="38">
        <v>250</v>
      </c>
      <c r="N183" s="38">
        <v>250</v>
      </c>
      <c r="O183" s="38">
        <v>250</v>
      </c>
      <c r="P183" s="38">
        <v>250</v>
      </c>
      <c r="Q183" s="38">
        <v>115</v>
      </c>
      <c r="R183" s="38">
        <v>115</v>
      </c>
      <c r="S183" s="38">
        <v>115</v>
      </c>
      <c r="T183" s="38">
        <v>115</v>
      </c>
      <c r="U183" s="38">
        <v>115</v>
      </c>
      <c r="V183" s="38">
        <v>115</v>
      </c>
      <c r="W183" s="38">
        <v>115</v>
      </c>
      <c r="X183" s="38">
        <v>115</v>
      </c>
      <c r="Y183" s="38">
        <v>250</v>
      </c>
      <c r="Z183" s="38">
        <v>250</v>
      </c>
      <c r="AA183" s="38">
        <v>250</v>
      </c>
      <c r="AB183" s="38">
        <v>250</v>
      </c>
      <c r="AC183" s="38">
        <v>2</v>
      </c>
      <c r="AD183" s="38">
        <v>4</v>
      </c>
      <c r="AE183" s="38">
        <v>8</v>
      </c>
      <c r="AF183" s="38">
        <v>8</v>
      </c>
      <c r="AG183" s="38">
        <v>0</v>
      </c>
      <c r="AH183" s="38">
        <v>0</v>
      </c>
      <c r="AI183" s="38">
        <v>0</v>
      </c>
      <c r="AJ183" s="38">
        <v>0</v>
      </c>
    </row>
    <row r="184" spans="1:36">
      <c r="A184" t="s">
        <v>112</v>
      </c>
      <c r="B184" t="s">
        <v>313</v>
      </c>
      <c r="C184" s="2" t="s">
        <v>111</v>
      </c>
      <c r="D184" s="6" t="s">
        <v>46</v>
      </c>
      <c r="E184" s="40">
        <v>82000</v>
      </c>
      <c r="F184" s="40">
        <v>82000</v>
      </c>
      <c r="G184" s="40">
        <v>82000</v>
      </c>
      <c r="H184" s="40">
        <v>82000</v>
      </c>
      <c r="I184" s="41">
        <v>91.83</v>
      </c>
      <c r="J184" s="41">
        <v>91.83</v>
      </c>
      <c r="K184" s="41">
        <v>103.66</v>
      </c>
      <c r="L184" s="41">
        <v>103.66</v>
      </c>
      <c r="M184" s="38">
        <v>250</v>
      </c>
      <c r="N184" s="38">
        <v>250</v>
      </c>
      <c r="O184" s="38">
        <v>250</v>
      </c>
      <c r="P184" s="38">
        <v>250</v>
      </c>
      <c r="Q184" s="38">
        <v>115</v>
      </c>
      <c r="R184" s="38">
        <v>115</v>
      </c>
      <c r="S184" s="38">
        <v>115</v>
      </c>
      <c r="T184" s="38">
        <v>115</v>
      </c>
      <c r="U184" s="38">
        <v>115</v>
      </c>
      <c r="V184" s="38">
        <v>115</v>
      </c>
      <c r="W184" s="38">
        <v>115</v>
      </c>
      <c r="X184" s="38">
        <v>115</v>
      </c>
      <c r="Y184" s="38">
        <v>250</v>
      </c>
      <c r="Z184" s="38">
        <v>250</v>
      </c>
      <c r="AA184" s="38">
        <v>250</v>
      </c>
      <c r="AB184" s="38">
        <v>250</v>
      </c>
      <c r="AC184" s="38">
        <v>2</v>
      </c>
      <c r="AD184" s="38">
        <v>4</v>
      </c>
      <c r="AE184" s="38">
        <v>8</v>
      </c>
      <c r="AF184" s="38">
        <v>8</v>
      </c>
      <c r="AG184" s="38">
        <v>0</v>
      </c>
      <c r="AH184" s="38">
        <v>0</v>
      </c>
      <c r="AI184" s="38">
        <v>0</v>
      </c>
      <c r="AJ184" s="38">
        <v>0</v>
      </c>
    </row>
    <row r="185" spans="1:36">
      <c r="A185" t="s">
        <v>112</v>
      </c>
      <c r="B185" t="s">
        <v>313</v>
      </c>
      <c r="C185" s="2" t="s">
        <v>111</v>
      </c>
      <c r="D185" s="6" t="s">
        <v>46</v>
      </c>
      <c r="E185" s="40">
        <v>83000</v>
      </c>
      <c r="F185" s="40">
        <v>83000</v>
      </c>
      <c r="G185" s="40">
        <v>83000</v>
      </c>
      <c r="H185" s="40">
        <v>83000</v>
      </c>
      <c r="I185" s="41">
        <v>91.81</v>
      </c>
      <c r="J185" s="41">
        <v>91.81</v>
      </c>
      <c r="K185" s="41">
        <v>103.61</v>
      </c>
      <c r="L185" s="41">
        <v>103.61</v>
      </c>
      <c r="M185" s="38">
        <v>250</v>
      </c>
      <c r="N185" s="38">
        <v>250</v>
      </c>
      <c r="O185" s="38">
        <v>250</v>
      </c>
      <c r="P185" s="38">
        <v>250</v>
      </c>
      <c r="Q185" s="38">
        <v>115</v>
      </c>
      <c r="R185" s="38">
        <v>115</v>
      </c>
      <c r="S185" s="38">
        <v>115</v>
      </c>
      <c r="T185" s="38">
        <v>115</v>
      </c>
      <c r="U185" s="38">
        <v>115</v>
      </c>
      <c r="V185" s="38">
        <v>115</v>
      </c>
      <c r="W185" s="38">
        <v>115</v>
      </c>
      <c r="X185" s="38">
        <v>115</v>
      </c>
      <c r="Y185" s="38">
        <v>250</v>
      </c>
      <c r="Z185" s="38">
        <v>250</v>
      </c>
      <c r="AA185" s="38">
        <v>250</v>
      </c>
      <c r="AB185" s="38">
        <v>250</v>
      </c>
      <c r="AC185" s="38">
        <v>2</v>
      </c>
      <c r="AD185" s="38">
        <v>4</v>
      </c>
      <c r="AE185" s="38">
        <v>8</v>
      </c>
      <c r="AF185" s="38">
        <v>8</v>
      </c>
      <c r="AG185" s="38">
        <v>0</v>
      </c>
      <c r="AH185" s="38">
        <v>0</v>
      </c>
      <c r="AI185" s="38">
        <v>0</v>
      </c>
      <c r="AJ185" s="38">
        <v>0</v>
      </c>
    </row>
    <row r="186" spans="1:36">
      <c r="A186" t="s">
        <v>112</v>
      </c>
      <c r="B186" t="s">
        <v>313</v>
      </c>
      <c r="C186" s="2" t="s">
        <v>111</v>
      </c>
      <c r="D186" s="6" t="s">
        <v>46</v>
      </c>
      <c r="E186" s="40">
        <v>84000</v>
      </c>
      <c r="F186" s="40">
        <v>84000</v>
      </c>
      <c r="G186" s="40">
        <v>84000</v>
      </c>
      <c r="H186" s="40">
        <v>84000</v>
      </c>
      <c r="I186" s="41">
        <v>91.79</v>
      </c>
      <c r="J186" s="41">
        <v>91.79</v>
      </c>
      <c r="K186" s="41">
        <v>103.57</v>
      </c>
      <c r="L186" s="41">
        <v>103.57</v>
      </c>
      <c r="M186" s="38">
        <v>250</v>
      </c>
      <c r="N186" s="38">
        <v>250</v>
      </c>
      <c r="O186" s="38">
        <v>250</v>
      </c>
      <c r="P186" s="38">
        <v>250</v>
      </c>
      <c r="Q186" s="38">
        <v>115</v>
      </c>
      <c r="R186" s="38">
        <v>115</v>
      </c>
      <c r="S186" s="38">
        <v>115</v>
      </c>
      <c r="T186" s="38">
        <v>115</v>
      </c>
      <c r="U186" s="38">
        <v>115</v>
      </c>
      <c r="V186" s="38">
        <v>115</v>
      </c>
      <c r="W186" s="38">
        <v>115</v>
      </c>
      <c r="X186" s="38">
        <v>115</v>
      </c>
      <c r="Y186" s="38">
        <v>250</v>
      </c>
      <c r="Z186" s="38">
        <v>250</v>
      </c>
      <c r="AA186" s="38">
        <v>250</v>
      </c>
      <c r="AB186" s="38">
        <v>250</v>
      </c>
      <c r="AC186" s="38">
        <v>2</v>
      </c>
      <c r="AD186" s="38">
        <v>4</v>
      </c>
      <c r="AE186" s="38">
        <v>8</v>
      </c>
      <c r="AF186" s="38">
        <v>8</v>
      </c>
      <c r="AG186" s="38">
        <v>0</v>
      </c>
      <c r="AH186" s="38">
        <v>0</v>
      </c>
      <c r="AI186" s="38">
        <v>0</v>
      </c>
      <c r="AJ186" s="38">
        <v>0</v>
      </c>
    </row>
    <row r="187" spans="1:36">
      <c r="A187" t="s">
        <v>112</v>
      </c>
      <c r="B187" t="s">
        <v>313</v>
      </c>
      <c r="C187" s="2" t="s">
        <v>111</v>
      </c>
      <c r="D187" s="6" t="s">
        <v>46</v>
      </c>
      <c r="E187" s="40">
        <v>85000</v>
      </c>
      <c r="F187" s="40">
        <v>85000</v>
      </c>
      <c r="G187" s="40">
        <v>85000</v>
      </c>
      <c r="H187" s="40">
        <v>85000</v>
      </c>
      <c r="I187" s="41">
        <v>91.76</v>
      </c>
      <c r="J187" s="41">
        <v>91.76</v>
      </c>
      <c r="K187" s="41">
        <v>103.53</v>
      </c>
      <c r="L187" s="41">
        <v>103.53</v>
      </c>
      <c r="M187" s="38">
        <v>250</v>
      </c>
      <c r="N187" s="38">
        <v>250</v>
      </c>
      <c r="O187" s="38">
        <v>250</v>
      </c>
      <c r="P187" s="38">
        <v>250</v>
      </c>
      <c r="Q187" s="38">
        <v>115</v>
      </c>
      <c r="R187" s="38">
        <v>115</v>
      </c>
      <c r="S187" s="38">
        <v>115</v>
      </c>
      <c r="T187" s="38">
        <v>115</v>
      </c>
      <c r="U187" s="38">
        <v>115</v>
      </c>
      <c r="V187" s="38">
        <v>115</v>
      </c>
      <c r="W187" s="38">
        <v>115</v>
      </c>
      <c r="X187" s="38">
        <v>115</v>
      </c>
      <c r="Y187" s="38">
        <v>250</v>
      </c>
      <c r="Z187" s="38">
        <v>250</v>
      </c>
      <c r="AA187" s="38">
        <v>250</v>
      </c>
      <c r="AB187" s="38">
        <v>250</v>
      </c>
      <c r="AC187" s="38">
        <v>2</v>
      </c>
      <c r="AD187" s="38">
        <v>4</v>
      </c>
      <c r="AE187" s="38">
        <v>8</v>
      </c>
      <c r="AF187" s="38">
        <v>8</v>
      </c>
      <c r="AG187" s="38">
        <v>0</v>
      </c>
      <c r="AH187" s="38">
        <v>0</v>
      </c>
      <c r="AI187" s="38">
        <v>0</v>
      </c>
      <c r="AJ187" s="38">
        <v>0</v>
      </c>
    </row>
    <row r="188" spans="1:36">
      <c r="A188" t="s">
        <v>112</v>
      </c>
      <c r="B188" t="s">
        <v>313</v>
      </c>
      <c r="C188" s="2" t="s">
        <v>111</v>
      </c>
      <c r="D188" s="6" t="s">
        <v>46</v>
      </c>
      <c r="E188" s="40">
        <v>86000</v>
      </c>
      <c r="F188" s="40">
        <v>86000</v>
      </c>
      <c r="G188" s="40">
        <v>86000</v>
      </c>
      <c r="H188" s="40">
        <v>86000</v>
      </c>
      <c r="I188" s="41">
        <v>91.74</v>
      </c>
      <c r="J188" s="41">
        <v>91.74</v>
      </c>
      <c r="K188" s="41">
        <v>103.49</v>
      </c>
      <c r="L188" s="41">
        <v>103.49</v>
      </c>
      <c r="M188" s="38">
        <v>250</v>
      </c>
      <c r="N188" s="38">
        <v>250</v>
      </c>
      <c r="O188" s="38">
        <v>250</v>
      </c>
      <c r="P188" s="38">
        <v>250</v>
      </c>
      <c r="Q188" s="38">
        <v>115</v>
      </c>
      <c r="R188" s="38">
        <v>115</v>
      </c>
      <c r="S188" s="38">
        <v>115</v>
      </c>
      <c r="T188" s="38">
        <v>115</v>
      </c>
      <c r="U188" s="38">
        <v>115</v>
      </c>
      <c r="V188" s="38">
        <v>115</v>
      </c>
      <c r="W188" s="38">
        <v>115</v>
      </c>
      <c r="X188" s="38">
        <v>115</v>
      </c>
      <c r="Y188" s="38">
        <v>250</v>
      </c>
      <c r="Z188" s="38">
        <v>250</v>
      </c>
      <c r="AA188" s="38">
        <v>250</v>
      </c>
      <c r="AB188" s="38">
        <v>250</v>
      </c>
      <c r="AC188" s="38">
        <v>2</v>
      </c>
      <c r="AD188" s="38">
        <v>4</v>
      </c>
      <c r="AE188" s="38">
        <v>8</v>
      </c>
      <c r="AF188" s="38">
        <v>8</v>
      </c>
      <c r="AG188" s="38">
        <v>0</v>
      </c>
      <c r="AH188" s="38">
        <v>0</v>
      </c>
      <c r="AI188" s="38">
        <v>0</v>
      </c>
      <c r="AJ188" s="38">
        <v>0</v>
      </c>
    </row>
    <row r="189" spans="1:36">
      <c r="A189" t="s">
        <v>112</v>
      </c>
      <c r="B189" t="s">
        <v>313</v>
      </c>
      <c r="C189" s="2" t="s">
        <v>111</v>
      </c>
      <c r="D189" s="6" t="s">
        <v>46</v>
      </c>
      <c r="E189" s="40">
        <v>87000</v>
      </c>
      <c r="F189" s="40">
        <v>87000</v>
      </c>
      <c r="G189" s="40">
        <v>87000</v>
      </c>
      <c r="H189" s="40">
        <v>87000</v>
      </c>
      <c r="I189" s="41">
        <v>91.72</v>
      </c>
      <c r="J189" s="41">
        <v>91.72</v>
      </c>
      <c r="K189" s="41">
        <v>103.45</v>
      </c>
      <c r="L189" s="41">
        <v>103.45</v>
      </c>
      <c r="M189" s="38">
        <v>250</v>
      </c>
      <c r="N189" s="38">
        <v>250</v>
      </c>
      <c r="O189" s="38">
        <v>250</v>
      </c>
      <c r="P189" s="38">
        <v>250</v>
      </c>
      <c r="Q189" s="38">
        <v>115</v>
      </c>
      <c r="R189" s="38">
        <v>115</v>
      </c>
      <c r="S189" s="38">
        <v>115</v>
      </c>
      <c r="T189" s="38">
        <v>115</v>
      </c>
      <c r="U189" s="38">
        <v>115</v>
      </c>
      <c r="V189" s="38">
        <v>115</v>
      </c>
      <c r="W189" s="38">
        <v>115</v>
      </c>
      <c r="X189" s="38">
        <v>115</v>
      </c>
      <c r="Y189" s="38">
        <v>250</v>
      </c>
      <c r="Z189" s="38">
        <v>250</v>
      </c>
      <c r="AA189" s="38">
        <v>250</v>
      </c>
      <c r="AB189" s="38">
        <v>250</v>
      </c>
      <c r="AC189" s="38">
        <v>2</v>
      </c>
      <c r="AD189" s="38">
        <v>4</v>
      </c>
      <c r="AE189" s="38">
        <v>8</v>
      </c>
      <c r="AF189" s="38">
        <v>8</v>
      </c>
      <c r="AG189" s="38">
        <v>0</v>
      </c>
      <c r="AH189" s="38">
        <v>0</v>
      </c>
      <c r="AI189" s="38">
        <v>0</v>
      </c>
      <c r="AJ189" s="38">
        <v>0</v>
      </c>
    </row>
    <row r="190" spans="1:36">
      <c r="A190" t="s">
        <v>112</v>
      </c>
      <c r="B190" t="s">
        <v>313</v>
      </c>
      <c r="C190" s="2" t="s">
        <v>111</v>
      </c>
      <c r="D190" s="6" t="s">
        <v>46</v>
      </c>
      <c r="E190" s="40">
        <v>88000</v>
      </c>
      <c r="F190" s="40">
        <v>88000</v>
      </c>
      <c r="G190" s="40">
        <v>88000</v>
      </c>
      <c r="H190" s="40">
        <v>88000</v>
      </c>
      <c r="I190" s="41">
        <v>91.7</v>
      </c>
      <c r="J190" s="41">
        <v>91.7</v>
      </c>
      <c r="K190" s="41">
        <v>103.41</v>
      </c>
      <c r="L190" s="41">
        <v>103.41</v>
      </c>
      <c r="M190" s="38">
        <v>250</v>
      </c>
      <c r="N190" s="38">
        <v>250</v>
      </c>
      <c r="O190" s="38">
        <v>250</v>
      </c>
      <c r="P190" s="38">
        <v>250</v>
      </c>
      <c r="Q190" s="38">
        <v>115</v>
      </c>
      <c r="R190" s="38">
        <v>115</v>
      </c>
      <c r="S190" s="38">
        <v>115</v>
      </c>
      <c r="T190" s="38">
        <v>115</v>
      </c>
      <c r="U190" s="38">
        <v>115</v>
      </c>
      <c r="V190" s="38">
        <v>115</v>
      </c>
      <c r="W190" s="38">
        <v>115</v>
      </c>
      <c r="X190" s="38">
        <v>115</v>
      </c>
      <c r="Y190" s="38">
        <v>250</v>
      </c>
      <c r="Z190" s="38">
        <v>250</v>
      </c>
      <c r="AA190" s="38">
        <v>250</v>
      </c>
      <c r="AB190" s="38">
        <v>250</v>
      </c>
      <c r="AC190" s="38">
        <v>2</v>
      </c>
      <c r="AD190" s="38">
        <v>4</v>
      </c>
      <c r="AE190" s="38">
        <v>8</v>
      </c>
      <c r="AF190" s="38">
        <v>8</v>
      </c>
      <c r="AG190" s="38">
        <v>0</v>
      </c>
      <c r="AH190" s="38">
        <v>0</v>
      </c>
      <c r="AI190" s="38">
        <v>0</v>
      </c>
      <c r="AJ190" s="38">
        <v>0</v>
      </c>
    </row>
    <row r="191" spans="1:36">
      <c r="A191" t="s">
        <v>112</v>
      </c>
      <c r="B191" t="s">
        <v>313</v>
      </c>
      <c r="C191" s="2" t="s">
        <v>111</v>
      </c>
      <c r="D191" s="6" t="s">
        <v>46</v>
      </c>
      <c r="E191" s="40">
        <v>89000</v>
      </c>
      <c r="F191" s="40">
        <v>89000</v>
      </c>
      <c r="G191" s="40">
        <v>89000</v>
      </c>
      <c r="H191" s="40">
        <v>89000</v>
      </c>
      <c r="I191" s="41">
        <v>91.69</v>
      </c>
      <c r="J191" s="41">
        <v>91.69</v>
      </c>
      <c r="K191" s="41">
        <v>103.37</v>
      </c>
      <c r="L191" s="41">
        <v>103.37</v>
      </c>
      <c r="M191" s="38">
        <v>250</v>
      </c>
      <c r="N191" s="38">
        <v>250</v>
      </c>
      <c r="O191" s="38">
        <v>250</v>
      </c>
      <c r="P191" s="38">
        <v>250</v>
      </c>
      <c r="Q191" s="38">
        <v>115</v>
      </c>
      <c r="R191" s="38">
        <v>115</v>
      </c>
      <c r="S191" s="38">
        <v>115</v>
      </c>
      <c r="T191" s="38">
        <v>115</v>
      </c>
      <c r="U191" s="38">
        <v>115</v>
      </c>
      <c r="V191" s="38">
        <v>115</v>
      </c>
      <c r="W191" s="38">
        <v>115</v>
      </c>
      <c r="X191" s="38">
        <v>115</v>
      </c>
      <c r="Y191" s="38">
        <v>250</v>
      </c>
      <c r="Z191" s="38">
        <v>250</v>
      </c>
      <c r="AA191" s="38">
        <v>250</v>
      </c>
      <c r="AB191" s="38">
        <v>250</v>
      </c>
      <c r="AC191" s="38">
        <v>2</v>
      </c>
      <c r="AD191" s="38">
        <v>4</v>
      </c>
      <c r="AE191" s="38">
        <v>8</v>
      </c>
      <c r="AF191" s="38">
        <v>8</v>
      </c>
      <c r="AG191" s="38">
        <v>0</v>
      </c>
      <c r="AH191" s="38">
        <v>0</v>
      </c>
      <c r="AI191" s="38">
        <v>0</v>
      </c>
      <c r="AJ191" s="38">
        <v>0</v>
      </c>
    </row>
    <row r="192" spans="1:36">
      <c r="A192" t="s">
        <v>112</v>
      </c>
      <c r="B192" t="s">
        <v>313</v>
      </c>
      <c r="C192" s="2" t="s">
        <v>111</v>
      </c>
      <c r="D192" s="6" t="s">
        <v>46</v>
      </c>
      <c r="E192" s="40">
        <v>90000</v>
      </c>
      <c r="F192" s="40">
        <v>90000</v>
      </c>
      <c r="G192" s="40">
        <v>90000</v>
      </c>
      <c r="H192" s="40">
        <v>90000</v>
      </c>
      <c r="I192" s="41">
        <v>91.67</v>
      </c>
      <c r="J192" s="41">
        <v>91.67</v>
      </c>
      <c r="K192" s="41">
        <v>103.33</v>
      </c>
      <c r="L192" s="41">
        <v>103.33</v>
      </c>
      <c r="M192" s="38">
        <v>250</v>
      </c>
      <c r="N192" s="38">
        <v>250</v>
      </c>
      <c r="O192" s="38">
        <v>250</v>
      </c>
      <c r="P192" s="38">
        <v>250</v>
      </c>
      <c r="Q192" s="38">
        <v>115</v>
      </c>
      <c r="R192" s="38">
        <v>115</v>
      </c>
      <c r="S192" s="38">
        <v>115</v>
      </c>
      <c r="T192" s="38">
        <v>115</v>
      </c>
      <c r="U192" s="38">
        <v>115</v>
      </c>
      <c r="V192" s="38">
        <v>115</v>
      </c>
      <c r="W192" s="38">
        <v>115</v>
      </c>
      <c r="X192" s="38">
        <v>115</v>
      </c>
      <c r="Y192" s="38">
        <v>250</v>
      </c>
      <c r="Z192" s="38">
        <v>250</v>
      </c>
      <c r="AA192" s="38">
        <v>250</v>
      </c>
      <c r="AB192" s="38">
        <v>250</v>
      </c>
      <c r="AC192" s="38">
        <v>2</v>
      </c>
      <c r="AD192" s="38">
        <v>4</v>
      </c>
      <c r="AE192" s="38">
        <v>8</v>
      </c>
      <c r="AF192" s="38">
        <v>8</v>
      </c>
      <c r="AG192" s="38">
        <v>0</v>
      </c>
      <c r="AH192" s="38">
        <v>0</v>
      </c>
      <c r="AI192" s="38">
        <v>0</v>
      </c>
      <c r="AJ192" s="38">
        <v>0</v>
      </c>
    </row>
    <row r="193" spans="1:36">
      <c r="A193" t="s">
        <v>112</v>
      </c>
      <c r="B193" t="s">
        <v>313</v>
      </c>
      <c r="C193" s="2" t="s">
        <v>111</v>
      </c>
      <c r="D193" s="6" t="s">
        <v>46</v>
      </c>
      <c r="E193" s="42">
        <v>91000</v>
      </c>
      <c r="F193" s="42">
        <v>91000</v>
      </c>
      <c r="G193" s="42">
        <v>91000</v>
      </c>
      <c r="H193" s="42">
        <v>91000</v>
      </c>
      <c r="I193" s="41">
        <v>91.65</v>
      </c>
      <c r="J193" s="41">
        <v>91.65</v>
      </c>
      <c r="K193" s="41">
        <v>103.3</v>
      </c>
      <c r="L193" s="41">
        <v>103.3</v>
      </c>
      <c r="M193" s="43">
        <v>250</v>
      </c>
      <c r="N193" s="43">
        <v>250</v>
      </c>
      <c r="O193" s="43">
        <v>250</v>
      </c>
      <c r="P193" s="43">
        <v>250</v>
      </c>
      <c r="Q193" s="43">
        <v>115</v>
      </c>
      <c r="R193" s="43">
        <v>115</v>
      </c>
      <c r="S193" s="43">
        <v>115</v>
      </c>
      <c r="T193" s="43">
        <v>115</v>
      </c>
      <c r="U193" s="43">
        <v>115</v>
      </c>
      <c r="V193" s="43">
        <v>115</v>
      </c>
      <c r="W193" s="43">
        <v>115</v>
      </c>
      <c r="X193" s="43">
        <v>115</v>
      </c>
      <c r="Y193" s="43">
        <v>250</v>
      </c>
      <c r="Z193" s="43">
        <v>250</v>
      </c>
      <c r="AA193" s="43">
        <v>250</v>
      </c>
      <c r="AB193" s="43">
        <v>250</v>
      </c>
      <c r="AC193" s="43">
        <v>2</v>
      </c>
      <c r="AD193" s="43">
        <v>4</v>
      </c>
      <c r="AE193" s="43">
        <v>8</v>
      </c>
      <c r="AF193" s="43">
        <v>8</v>
      </c>
      <c r="AG193" s="43">
        <v>0</v>
      </c>
      <c r="AH193" s="43">
        <v>0</v>
      </c>
      <c r="AI193" s="43">
        <v>0</v>
      </c>
      <c r="AJ193" s="43">
        <v>0</v>
      </c>
    </row>
    <row r="194" spans="1:36">
      <c r="A194" t="s">
        <v>112</v>
      </c>
      <c r="B194" t="s">
        <v>313</v>
      </c>
      <c r="C194" s="2" t="s">
        <v>111</v>
      </c>
      <c r="D194" s="6" t="s">
        <v>46</v>
      </c>
      <c r="E194" s="42">
        <v>92000</v>
      </c>
      <c r="F194" s="42">
        <v>92000</v>
      </c>
      <c r="G194" s="42">
        <v>92000</v>
      </c>
      <c r="H194" s="42">
        <v>92000</v>
      </c>
      <c r="I194" s="41">
        <v>91.63</v>
      </c>
      <c r="J194" s="41">
        <v>91.63</v>
      </c>
      <c r="K194" s="41">
        <v>103.26</v>
      </c>
      <c r="L194" s="41">
        <v>103.26</v>
      </c>
      <c r="M194" s="43">
        <v>250</v>
      </c>
      <c r="N194" s="43">
        <v>250</v>
      </c>
      <c r="O194" s="43">
        <v>250</v>
      </c>
      <c r="P194" s="43">
        <v>250</v>
      </c>
      <c r="Q194" s="43">
        <v>115</v>
      </c>
      <c r="R194" s="43">
        <v>115</v>
      </c>
      <c r="S194" s="43">
        <v>115</v>
      </c>
      <c r="T194" s="43">
        <v>115</v>
      </c>
      <c r="U194" s="43">
        <v>115</v>
      </c>
      <c r="V194" s="43">
        <v>115</v>
      </c>
      <c r="W194" s="43">
        <v>115</v>
      </c>
      <c r="X194" s="43">
        <v>115</v>
      </c>
      <c r="Y194" s="43">
        <v>250</v>
      </c>
      <c r="Z194" s="43">
        <v>250</v>
      </c>
      <c r="AA194" s="43">
        <v>250</v>
      </c>
      <c r="AB194" s="43">
        <v>250</v>
      </c>
      <c r="AC194" s="43">
        <v>2</v>
      </c>
      <c r="AD194" s="43">
        <v>4</v>
      </c>
      <c r="AE194" s="43">
        <v>8</v>
      </c>
      <c r="AF194" s="43">
        <v>8</v>
      </c>
      <c r="AG194" s="43">
        <v>0</v>
      </c>
      <c r="AH194" s="43">
        <v>0</v>
      </c>
      <c r="AI194" s="43">
        <v>0</v>
      </c>
      <c r="AJ194" s="43">
        <v>0</v>
      </c>
    </row>
    <row r="195" spans="1:36">
      <c r="A195" t="s">
        <v>112</v>
      </c>
      <c r="B195" t="s">
        <v>313</v>
      </c>
      <c r="C195" s="2" t="s">
        <v>111</v>
      </c>
      <c r="D195" s="6" t="s">
        <v>46</v>
      </c>
      <c r="E195" s="42">
        <v>93000</v>
      </c>
      <c r="F195" s="42">
        <v>93000</v>
      </c>
      <c r="G195" s="42">
        <v>93000</v>
      </c>
      <c r="H195" s="42">
        <v>93000</v>
      </c>
      <c r="I195" s="41">
        <v>91.61</v>
      </c>
      <c r="J195" s="41">
        <v>91.61</v>
      </c>
      <c r="K195" s="41">
        <v>103.23</v>
      </c>
      <c r="L195" s="41">
        <v>103.23</v>
      </c>
      <c r="M195" s="43">
        <v>250</v>
      </c>
      <c r="N195" s="43">
        <v>250</v>
      </c>
      <c r="O195" s="43">
        <v>250</v>
      </c>
      <c r="P195" s="43">
        <v>250</v>
      </c>
      <c r="Q195" s="43">
        <v>115</v>
      </c>
      <c r="R195" s="43">
        <v>115</v>
      </c>
      <c r="S195" s="43">
        <v>115</v>
      </c>
      <c r="T195" s="43">
        <v>115</v>
      </c>
      <c r="U195" s="43">
        <v>115</v>
      </c>
      <c r="V195" s="43">
        <v>115</v>
      </c>
      <c r="W195" s="43">
        <v>115</v>
      </c>
      <c r="X195" s="43">
        <v>115</v>
      </c>
      <c r="Y195" s="43">
        <v>250</v>
      </c>
      <c r="Z195" s="43">
        <v>250</v>
      </c>
      <c r="AA195" s="43">
        <v>250</v>
      </c>
      <c r="AB195" s="43">
        <v>250</v>
      </c>
      <c r="AC195" s="43">
        <v>2</v>
      </c>
      <c r="AD195" s="43">
        <v>4</v>
      </c>
      <c r="AE195" s="43">
        <v>8</v>
      </c>
      <c r="AF195" s="43">
        <v>8</v>
      </c>
      <c r="AG195" s="43">
        <v>0</v>
      </c>
      <c r="AH195" s="43">
        <v>0</v>
      </c>
      <c r="AI195" s="43">
        <v>0</v>
      </c>
      <c r="AJ195" s="43">
        <v>0</v>
      </c>
    </row>
    <row r="196" spans="1:36">
      <c r="A196" t="s">
        <v>112</v>
      </c>
      <c r="B196" t="s">
        <v>313</v>
      </c>
      <c r="C196" s="2" t="s">
        <v>111</v>
      </c>
      <c r="D196" s="6" t="s">
        <v>46</v>
      </c>
      <c r="E196" s="42">
        <v>94000</v>
      </c>
      <c r="F196" s="42">
        <v>94000</v>
      </c>
      <c r="G196" s="42">
        <v>94000</v>
      </c>
      <c r="H196" s="42">
        <v>94000</v>
      </c>
      <c r="I196" s="41">
        <v>91.6</v>
      </c>
      <c r="J196" s="41">
        <v>91.6</v>
      </c>
      <c r="K196" s="41">
        <v>103.19</v>
      </c>
      <c r="L196" s="41">
        <v>103.19</v>
      </c>
      <c r="M196" s="43">
        <v>250</v>
      </c>
      <c r="N196" s="43">
        <v>250</v>
      </c>
      <c r="O196" s="43">
        <v>250</v>
      </c>
      <c r="P196" s="43">
        <v>250</v>
      </c>
      <c r="Q196" s="43">
        <v>115</v>
      </c>
      <c r="R196" s="43">
        <v>115</v>
      </c>
      <c r="S196" s="43">
        <v>115</v>
      </c>
      <c r="T196" s="43">
        <v>115</v>
      </c>
      <c r="U196" s="43">
        <v>115</v>
      </c>
      <c r="V196" s="43">
        <v>115</v>
      </c>
      <c r="W196" s="43">
        <v>115</v>
      </c>
      <c r="X196" s="43">
        <v>115</v>
      </c>
      <c r="Y196" s="43">
        <v>250</v>
      </c>
      <c r="Z196" s="43">
        <v>250</v>
      </c>
      <c r="AA196" s="43">
        <v>250</v>
      </c>
      <c r="AB196" s="43">
        <v>250</v>
      </c>
      <c r="AC196" s="43">
        <v>2</v>
      </c>
      <c r="AD196" s="43">
        <v>4</v>
      </c>
      <c r="AE196" s="43">
        <v>8</v>
      </c>
      <c r="AF196" s="43">
        <v>8</v>
      </c>
      <c r="AG196" s="43">
        <v>0</v>
      </c>
      <c r="AH196" s="43">
        <v>0</v>
      </c>
      <c r="AI196" s="43">
        <v>0</v>
      </c>
      <c r="AJ196" s="43">
        <v>0</v>
      </c>
    </row>
    <row r="197" spans="1:36">
      <c r="A197" t="s">
        <v>112</v>
      </c>
      <c r="B197" t="s">
        <v>313</v>
      </c>
      <c r="C197" s="2" t="s">
        <v>111</v>
      </c>
      <c r="D197" s="6" t="s">
        <v>46</v>
      </c>
      <c r="E197" s="42">
        <v>95000</v>
      </c>
      <c r="F197" s="42">
        <v>95000</v>
      </c>
      <c r="G197" s="42">
        <v>95000</v>
      </c>
      <c r="H197" s="42">
        <v>95000</v>
      </c>
      <c r="I197" s="41">
        <v>91.58</v>
      </c>
      <c r="J197" s="41">
        <v>91.58</v>
      </c>
      <c r="K197" s="41">
        <v>103.16</v>
      </c>
      <c r="L197" s="41">
        <v>103.16</v>
      </c>
      <c r="M197" s="43">
        <v>250</v>
      </c>
      <c r="N197" s="43">
        <v>250</v>
      </c>
      <c r="O197" s="43">
        <v>250</v>
      </c>
      <c r="P197" s="43">
        <v>250</v>
      </c>
      <c r="Q197" s="43">
        <v>115</v>
      </c>
      <c r="R197" s="43">
        <v>115</v>
      </c>
      <c r="S197" s="43">
        <v>115</v>
      </c>
      <c r="T197" s="43">
        <v>115</v>
      </c>
      <c r="U197" s="43">
        <v>115</v>
      </c>
      <c r="V197" s="43">
        <v>115</v>
      </c>
      <c r="W197" s="43">
        <v>115</v>
      </c>
      <c r="X197" s="43">
        <v>115</v>
      </c>
      <c r="Y197" s="43">
        <v>250</v>
      </c>
      <c r="Z197" s="43">
        <v>250</v>
      </c>
      <c r="AA197" s="43">
        <v>250</v>
      </c>
      <c r="AB197" s="43">
        <v>250</v>
      </c>
      <c r="AC197" s="43">
        <v>2</v>
      </c>
      <c r="AD197" s="43">
        <v>4</v>
      </c>
      <c r="AE197" s="43">
        <v>8</v>
      </c>
      <c r="AF197" s="43">
        <v>8</v>
      </c>
      <c r="AG197" s="43">
        <v>0</v>
      </c>
      <c r="AH197" s="43">
        <v>0</v>
      </c>
      <c r="AI197" s="43">
        <v>0</v>
      </c>
      <c r="AJ197" s="43">
        <v>0</v>
      </c>
    </row>
    <row r="198" spans="1:36">
      <c r="A198" t="s">
        <v>112</v>
      </c>
      <c r="B198" t="s">
        <v>313</v>
      </c>
      <c r="C198" s="2" t="s">
        <v>111</v>
      </c>
      <c r="D198" s="6" t="s">
        <v>46</v>
      </c>
      <c r="E198" s="42">
        <v>96000</v>
      </c>
      <c r="F198" s="42">
        <v>96000</v>
      </c>
      <c r="G198" s="42">
        <v>96000</v>
      </c>
      <c r="H198" s="42">
        <v>96000</v>
      </c>
      <c r="I198" s="41">
        <v>91.56</v>
      </c>
      <c r="J198" s="41">
        <v>91.56</v>
      </c>
      <c r="K198" s="41">
        <v>103.13</v>
      </c>
      <c r="L198" s="41">
        <v>103.13</v>
      </c>
      <c r="M198" s="43">
        <v>250</v>
      </c>
      <c r="N198" s="43">
        <v>250</v>
      </c>
      <c r="O198" s="43">
        <v>250</v>
      </c>
      <c r="P198" s="43">
        <v>250</v>
      </c>
      <c r="Q198" s="43">
        <v>115</v>
      </c>
      <c r="R198" s="43">
        <v>115</v>
      </c>
      <c r="S198" s="43">
        <v>115</v>
      </c>
      <c r="T198" s="43">
        <v>115</v>
      </c>
      <c r="U198" s="43">
        <v>115</v>
      </c>
      <c r="V198" s="43">
        <v>115</v>
      </c>
      <c r="W198" s="43">
        <v>115</v>
      </c>
      <c r="X198" s="43">
        <v>115</v>
      </c>
      <c r="Y198" s="43">
        <v>250</v>
      </c>
      <c r="Z198" s="43">
        <v>250</v>
      </c>
      <c r="AA198" s="43">
        <v>250</v>
      </c>
      <c r="AB198" s="43">
        <v>250</v>
      </c>
      <c r="AC198" s="43">
        <v>2</v>
      </c>
      <c r="AD198" s="43">
        <v>4</v>
      </c>
      <c r="AE198" s="43">
        <v>8</v>
      </c>
      <c r="AF198" s="43">
        <v>8</v>
      </c>
      <c r="AG198" s="43">
        <v>0</v>
      </c>
      <c r="AH198" s="43">
        <v>0</v>
      </c>
      <c r="AI198" s="43">
        <v>0</v>
      </c>
      <c r="AJ198" s="43">
        <v>0</v>
      </c>
    </row>
    <row r="199" spans="1:36">
      <c r="A199" t="s">
        <v>112</v>
      </c>
      <c r="B199" t="s">
        <v>313</v>
      </c>
      <c r="C199" s="2" t="s">
        <v>111</v>
      </c>
      <c r="D199" s="6" t="s">
        <v>46</v>
      </c>
      <c r="E199" s="42">
        <v>97000</v>
      </c>
      <c r="F199" s="42">
        <v>97000</v>
      </c>
      <c r="G199" s="42">
        <v>97000</v>
      </c>
      <c r="H199" s="42">
        <v>97000</v>
      </c>
      <c r="I199" s="41">
        <v>91.55</v>
      </c>
      <c r="J199" s="41">
        <v>91.55</v>
      </c>
      <c r="K199" s="41">
        <v>103.09</v>
      </c>
      <c r="L199" s="41">
        <v>103.09</v>
      </c>
      <c r="M199" s="43">
        <v>250</v>
      </c>
      <c r="N199" s="43">
        <v>250</v>
      </c>
      <c r="O199" s="43">
        <v>250</v>
      </c>
      <c r="P199" s="43">
        <v>250</v>
      </c>
      <c r="Q199" s="43">
        <v>115</v>
      </c>
      <c r="R199" s="43">
        <v>115</v>
      </c>
      <c r="S199" s="43">
        <v>115</v>
      </c>
      <c r="T199" s="43">
        <v>115</v>
      </c>
      <c r="U199" s="43">
        <v>115</v>
      </c>
      <c r="V199" s="43">
        <v>115</v>
      </c>
      <c r="W199" s="43">
        <v>115</v>
      </c>
      <c r="X199" s="43">
        <v>115</v>
      </c>
      <c r="Y199" s="43">
        <v>250</v>
      </c>
      <c r="Z199" s="43">
        <v>250</v>
      </c>
      <c r="AA199" s="43">
        <v>250</v>
      </c>
      <c r="AB199" s="43">
        <v>250</v>
      </c>
      <c r="AC199" s="43">
        <v>2</v>
      </c>
      <c r="AD199" s="43">
        <v>4</v>
      </c>
      <c r="AE199" s="43">
        <v>8</v>
      </c>
      <c r="AF199" s="43">
        <v>8</v>
      </c>
      <c r="AG199" s="43">
        <v>0</v>
      </c>
      <c r="AH199" s="43">
        <v>0</v>
      </c>
      <c r="AI199" s="43">
        <v>0</v>
      </c>
      <c r="AJ199" s="43">
        <v>0</v>
      </c>
    </row>
    <row r="200" spans="1:36">
      <c r="A200" t="s">
        <v>112</v>
      </c>
      <c r="B200" t="s">
        <v>313</v>
      </c>
      <c r="C200" s="2" t="s">
        <v>111</v>
      </c>
      <c r="D200" s="6" t="s">
        <v>46</v>
      </c>
      <c r="E200" s="42">
        <v>98000</v>
      </c>
      <c r="F200" s="42">
        <v>98000</v>
      </c>
      <c r="G200" s="42">
        <v>98000</v>
      </c>
      <c r="H200" s="42">
        <v>98000</v>
      </c>
      <c r="I200" s="41">
        <v>91.53</v>
      </c>
      <c r="J200" s="41">
        <v>91.53</v>
      </c>
      <c r="K200" s="41">
        <v>103.06</v>
      </c>
      <c r="L200" s="41">
        <v>103.06</v>
      </c>
      <c r="M200" s="43">
        <v>250</v>
      </c>
      <c r="N200" s="43">
        <v>250</v>
      </c>
      <c r="O200" s="43">
        <v>250</v>
      </c>
      <c r="P200" s="43">
        <v>250</v>
      </c>
      <c r="Q200" s="43">
        <v>115</v>
      </c>
      <c r="R200" s="43">
        <v>115</v>
      </c>
      <c r="S200" s="43">
        <v>115</v>
      </c>
      <c r="T200" s="43">
        <v>115</v>
      </c>
      <c r="U200" s="43">
        <v>115</v>
      </c>
      <c r="V200" s="43">
        <v>115</v>
      </c>
      <c r="W200" s="43">
        <v>115</v>
      </c>
      <c r="X200" s="43">
        <v>115</v>
      </c>
      <c r="Y200" s="43">
        <v>250</v>
      </c>
      <c r="Z200" s="43">
        <v>250</v>
      </c>
      <c r="AA200" s="43">
        <v>250</v>
      </c>
      <c r="AB200" s="43">
        <v>250</v>
      </c>
      <c r="AC200" s="43">
        <v>2</v>
      </c>
      <c r="AD200" s="43">
        <v>4</v>
      </c>
      <c r="AE200" s="43">
        <v>8</v>
      </c>
      <c r="AF200" s="43">
        <v>8</v>
      </c>
      <c r="AG200" s="43">
        <v>0</v>
      </c>
      <c r="AH200" s="43">
        <v>0</v>
      </c>
      <c r="AI200" s="43">
        <v>0</v>
      </c>
      <c r="AJ200" s="43">
        <v>0</v>
      </c>
    </row>
    <row r="201" spans="1:36">
      <c r="A201" t="s">
        <v>112</v>
      </c>
      <c r="B201" t="s">
        <v>313</v>
      </c>
      <c r="C201" s="2" t="s">
        <v>111</v>
      </c>
      <c r="D201" s="6" t="s">
        <v>46</v>
      </c>
      <c r="E201" s="42">
        <v>99000</v>
      </c>
      <c r="F201" s="42">
        <v>99000</v>
      </c>
      <c r="G201" s="42">
        <v>99000</v>
      </c>
      <c r="H201" s="42">
        <v>99000</v>
      </c>
      <c r="I201" s="41">
        <v>91.52</v>
      </c>
      <c r="J201" s="41">
        <v>91.52</v>
      </c>
      <c r="K201" s="41">
        <v>103.03</v>
      </c>
      <c r="L201" s="41">
        <v>103.03</v>
      </c>
      <c r="M201" s="43">
        <v>250</v>
      </c>
      <c r="N201" s="43">
        <v>250</v>
      </c>
      <c r="O201" s="43">
        <v>250</v>
      </c>
      <c r="P201" s="43">
        <v>250</v>
      </c>
      <c r="Q201" s="43">
        <v>115</v>
      </c>
      <c r="R201" s="43">
        <v>115</v>
      </c>
      <c r="S201" s="43">
        <v>115</v>
      </c>
      <c r="T201" s="43">
        <v>115</v>
      </c>
      <c r="U201" s="43">
        <v>115</v>
      </c>
      <c r="V201" s="43">
        <v>115</v>
      </c>
      <c r="W201" s="43">
        <v>115</v>
      </c>
      <c r="X201" s="43">
        <v>115</v>
      </c>
      <c r="Y201" s="43">
        <v>250</v>
      </c>
      <c r="Z201" s="43">
        <v>250</v>
      </c>
      <c r="AA201" s="43">
        <v>250</v>
      </c>
      <c r="AB201" s="43">
        <v>250</v>
      </c>
      <c r="AC201" s="43">
        <v>2</v>
      </c>
      <c r="AD201" s="43">
        <v>4</v>
      </c>
      <c r="AE201" s="43">
        <v>8</v>
      </c>
      <c r="AF201" s="43">
        <v>8</v>
      </c>
      <c r="AG201" s="43">
        <v>0</v>
      </c>
      <c r="AH201" s="43">
        <v>0</v>
      </c>
      <c r="AI201" s="43">
        <v>0</v>
      </c>
      <c r="AJ201" s="43">
        <v>0</v>
      </c>
    </row>
    <row r="202" spans="1:36">
      <c r="A202" t="s">
        <v>112</v>
      </c>
      <c r="B202" t="s">
        <v>313</v>
      </c>
      <c r="C202" s="2" t="s">
        <v>111</v>
      </c>
      <c r="D202" s="6" t="s">
        <v>46</v>
      </c>
      <c r="E202" s="42">
        <v>100000</v>
      </c>
      <c r="F202" s="42">
        <v>100000</v>
      </c>
      <c r="G202" s="42">
        <v>100000</v>
      </c>
      <c r="H202" s="42">
        <v>100000</v>
      </c>
      <c r="I202" s="41">
        <v>91.5</v>
      </c>
      <c r="J202" s="41">
        <v>91.5</v>
      </c>
      <c r="K202" s="41">
        <v>103</v>
      </c>
      <c r="L202" s="41">
        <v>103</v>
      </c>
      <c r="M202" s="43">
        <v>250</v>
      </c>
      <c r="N202" s="43">
        <v>250</v>
      </c>
      <c r="O202" s="43">
        <v>250</v>
      </c>
      <c r="P202" s="43">
        <v>250</v>
      </c>
      <c r="Q202" s="43">
        <v>115</v>
      </c>
      <c r="R202" s="43">
        <v>115</v>
      </c>
      <c r="S202" s="43">
        <v>115</v>
      </c>
      <c r="T202" s="43">
        <v>115</v>
      </c>
      <c r="U202" s="43">
        <v>115</v>
      </c>
      <c r="V202" s="43">
        <v>115</v>
      </c>
      <c r="W202" s="43">
        <v>115</v>
      </c>
      <c r="X202" s="43">
        <v>115</v>
      </c>
      <c r="Y202" s="43">
        <v>250</v>
      </c>
      <c r="Z202" s="43">
        <v>250</v>
      </c>
      <c r="AA202" s="43">
        <v>250</v>
      </c>
      <c r="AB202" s="43">
        <v>250</v>
      </c>
      <c r="AC202" s="43">
        <v>2</v>
      </c>
      <c r="AD202" s="43">
        <v>4</v>
      </c>
      <c r="AE202" s="43">
        <v>8</v>
      </c>
      <c r="AF202" s="43">
        <v>8</v>
      </c>
      <c r="AG202" s="43">
        <v>0</v>
      </c>
      <c r="AH202" s="43">
        <v>0</v>
      </c>
      <c r="AI202" s="43">
        <v>0</v>
      </c>
      <c r="AJ202" s="43">
        <v>0</v>
      </c>
    </row>
    <row r="203" spans="1:36">
      <c r="A203" t="s">
        <v>112</v>
      </c>
      <c r="B203" t="s">
        <v>314</v>
      </c>
      <c r="C203" s="3" t="s">
        <v>111</v>
      </c>
      <c r="D203" s="3" t="s">
        <v>37</v>
      </c>
      <c r="E203" s="44">
        <v>1000</v>
      </c>
      <c r="F203" s="44">
        <v>1000</v>
      </c>
      <c r="G203" s="44">
        <v>1000</v>
      </c>
      <c r="H203" s="44">
        <v>1000</v>
      </c>
      <c r="I203" s="45">
        <v>175</v>
      </c>
      <c r="J203" s="45">
        <v>175</v>
      </c>
      <c r="K203" s="45">
        <v>190</v>
      </c>
      <c r="L203" s="45">
        <v>190</v>
      </c>
      <c r="M203" s="43">
        <v>250</v>
      </c>
      <c r="N203" s="43">
        <v>250</v>
      </c>
      <c r="O203" s="43">
        <v>250</v>
      </c>
      <c r="P203" s="43">
        <v>250</v>
      </c>
      <c r="Q203" s="43">
        <v>115</v>
      </c>
      <c r="R203" s="43">
        <v>115</v>
      </c>
      <c r="S203" s="43">
        <v>115</v>
      </c>
      <c r="T203" s="43">
        <v>115</v>
      </c>
      <c r="U203" s="43">
        <v>115</v>
      </c>
      <c r="V203" s="43">
        <v>115</v>
      </c>
      <c r="W203" s="43">
        <v>115</v>
      </c>
      <c r="X203" s="43">
        <v>115</v>
      </c>
      <c r="Y203" s="43">
        <v>250</v>
      </c>
      <c r="Z203" s="43">
        <v>250</v>
      </c>
      <c r="AA203" s="43">
        <v>250</v>
      </c>
      <c r="AB203" s="43">
        <v>250</v>
      </c>
      <c r="AC203" s="43">
        <v>2</v>
      </c>
      <c r="AD203" s="43">
        <v>4</v>
      </c>
      <c r="AE203" s="43">
        <v>8</v>
      </c>
      <c r="AF203" s="43">
        <v>8</v>
      </c>
      <c r="AG203" s="43">
        <v>0</v>
      </c>
      <c r="AH203" s="43">
        <v>0</v>
      </c>
      <c r="AI203" s="43">
        <v>0</v>
      </c>
      <c r="AJ203" s="43">
        <v>0</v>
      </c>
    </row>
    <row r="204" spans="1:36">
      <c r="A204" t="s">
        <v>112</v>
      </c>
      <c r="B204" t="s">
        <v>314</v>
      </c>
      <c r="C204" s="3" t="s">
        <v>111</v>
      </c>
      <c r="D204" s="3" t="s">
        <v>37</v>
      </c>
      <c r="E204" s="44">
        <v>2000</v>
      </c>
      <c r="F204" s="44">
        <v>2000</v>
      </c>
      <c r="G204" s="44">
        <v>2000</v>
      </c>
      <c r="H204" s="44">
        <v>2000</v>
      </c>
      <c r="I204" s="45">
        <v>145</v>
      </c>
      <c r="J204" s="45">
        <v>145</v>
      </c>
      <c r="K204" s="45">
        <v>145</v>
      </c>
      <c r="L204" s="45">
        <v>145</v>
      </c>
      <c r="M204" s="43">
        <v>250</v>
      </c>
      <c r="N204" s="43">
        <v>250</v>
      </c>
      <c r="O204" s="43">
        <v>250</v>
      </c>
      <c r="P204" s="43">
        <v>250</v>
      </c>
      <c r="Q204" s="43">
        <v>115</v>
      </c>
      <c r="R204" s="43">
        <v>115</v>
      </c>
      <c r="S204" s="43">
        <v>115</v>
      </c>
      <c r="T204" s="43">
        <v>115</v>
      </c>
      <c r="U204" s="43">
        <v>115</v>
      </c>
      <c r="V204" s="43">
        <v>115</v>
      </c>
      <c r="W204" s="43">
        <v>115</v>
      </c>
      <c r="X204" s="43">
        <v>115</v>
      </c>
      <c r="Y204" s="43">
        <v>250</v>
      </c>
      <c r="Z204" s="43">
        <v>250</v>
      </c>
      <c r="AA204" s="43">
        <v>250</v>
      </c>
      <c r="AB204" s="43">
        <v>250</v>
      </c>
      <c r="AC204" s="43">
        <v>2</v>
      </c>
      <c r="AD204" s="43">
        <v>4</v>
      </c>
      <c r="AE204" s="43">
        <v>8</v>
      </c>
      <c r="AF204" s="43">
        <v>8</v>
      </c>
      <c r="AG204" s="43">
        <v>0</v>
      </c>
      <c r="AH204" s="43">
        <v>0</v>
      </c>
      <c r="AI204" s="43">
        <v>0</v>
      </c>
      <c r="AJ204" s="43">
        <v>0</v>
      </c>
    </row>
    <row r="205" spans="1:36">
      <c r="A205" t="s">
        <v>112</v>
      </c>
      <c r="B205" t="s">
        <v>314</v>
      </c>
      <c r="C205" s="3" t="s">
        <v>111</v>
      </c>
      <c r="D205" s="3" t="s">
        <v>37</v>
      </c>
      <c r="E205" s="44">
        <v>3000</v>
      </c>
      <c r="F205" s="44">
        <v>3000</v>
      </c>
      <c r="G205" s="44">
        <v>3000</v>
      </c>
      <c r="H205" s="44">
        <v>3000</v>
      </c>
      <c r="I205" s="45">
        <v>135</v>
      </c>
      <c r="J205" s="45">
        <v>135</v>
      </c>
      <c r="K205" s="45">
        <v>130</v>
      </c>
      <c r="L205" s="45">
        <v>130</v>
      </c>
      <c r="M205" s="43">
        <v>250</v>
      </c>
      <c r="N205" s="43">
        <v>250</v>
      </c>
      <c r="O205" s="43">
        <v>250</v>
      </c>
      <c r="P205" s="43">
        <v>250</v>
      </c>
      <c r="Q205" s="43">
        <v>115</v>
      </c>
      <c r="R205" s="43">
        <v>115</v>
      </c>
      <c r="S205" s="43">
        <v>115</v>
      </c>
      <c r="T205" s="43">
        <v>115</v>
      </c>
      <c r="U205" s="43">
        <v>115</v>
      </c>
      <c r="V205" s="43">
        <v>115</v>
      </c>
      <c r="W205" s="43">
        <v>115</v>
      </c>
      <c r="X205" s="43">
        <v>115</v>
      </c>
      <c r="Y205" s="43">
        <v>250</v>
      </c>
      <c r="Z205" s="43">
        <v>250</v>
      </c>
      <c r="AA205" s="43">
        <v>250</v>
      </c>
      <c r="AB205" s="43">
        <v>250</v>
      </c>
      <c r="AC205" s="43">
        <v>2</v>
      </c>
      <c r="AD205" s="43">
        <v>4</v>
      </c>
      <c r="AE205" s="43">
        <v>8</v>
      </c>
      <c r="AF205" s="43">
        <v>8</v>
      </c>
      <c r="AG205" s="43">
        <v>0</v>
      </c>
      <c r="AH205" s="43">
        <v>0</v>
      </c>
      <c r="AI205" s="43">
        <v>0</v>
      </c>
      <c r="AJ205" s="43">
        <v>0</v>
      </c>
    </row>
    <row r="206" spans="1:36">
      <c r="A206" t="s">
        <v>112</v>
      </c>
      <c r="B206" t="s">
        <v>314</v>
      </c>
      <c r="C206" s="3" t="s">
        <v>111</v>
      </c>
      <c r="D206" s="3" t="s">
        <v>37</v>
      </c>
      <c r="E206" s="44">
        <v>4000</v>
      </c>
      <c r="F206" s="44">
        <v>4000</v>
      </c>
      <c r="G206" s="44">
        <v>4000</v>
      </c>
      <c r="H206" s="44">
        <v>4000</v>
      </c>
      <c r="I206" s="45">
        <v>130</v>
      </c>
      <c r="J206" s="45">
        <v>130</v>
      </c>
      <c r="K206" s="45">
        <v>122.5</v>
      </c>
      <c r="L206" s="45">
        <v>122.5</v>
      </c>
      <c r="M206" s="43">
        <v>250</v>
      </c>
      <c r="N206" s="43">
        <v>250</v>
      </c>
      <c r="O206" s="43">
        <v>250</v>
      </c>
      <c r="P206" s="43">
        <v>250</v>
      </c>
      <c r="Q206" s="43">
        <v>115</v>
      </c>
      <c r="R206" s="43">
        <v>115</v>
      </c>
      <c r="S206" s="43">
        <v>115</v>
      </c>
      <c r="T206" s="43">
        <v>115</v>
      </c>
      <c r="U206" s="43">
        <v>115</v>
      </c>
      <c r="V206" s="43">
        <v>115</v>
      </c>
      <c r="W206" s="43">
        <v>115</v>
      </c>
      <c r="X206" s="43">
        <v>115</v>
      </c>
      <c r="Y206" s="43">
        <v>250</v>
      </c>
      <c r="Z206" s="43">
        <v>250</v>
      </c>
      <c r="AA206" s="43">
        <v>250</v>
      </c>
      <c r="AB206" s="43">
        <v>250</v>
      </c>
      <c r="AC206" s="43">
        <v>2</v>
      </c>
      <c r="AD206" s="43">
        <v>4</v>
      </c>
      <c r="AE206" s="43">
        <v>8</v>
      </c>
      <c r="AF206" s="43">
        <v>8</v>
      </c>
      <c r="AG206" s="43">
        <v>0</v>
      </c>
      <c r="AH206" s="43">
        <v>0</v>
      </c>
      <c r="AI206" s="43">
        <v>0</v>
      </c>
      <c r="AJ206" s="43">
        <v>0</v>
      </c>
    </row>
    <row r="207" spans="1:36">
      <c r="A207" t="s">
        <v>112</v>
      </c>
      <c r="B207" t="s">
        <v>314</v>
      </c>
      <c r="C207" s="3" t="s">
        <v>111</v>
      </c>
      <c r="D207" s="3" t="s">
        <v>37</v>
      </c>
      <c r="E207" s="44">
        <v>5000</v>
      </c>
      <c r="F207" s="44">
        <v>5000</v>
      </c>
      <c r="G207" s="44">
        <v>5000</v>
      </c>
      <c r="H207" s="44">
        <v>5000</v>
      </c>
      <c r="I207" s="45">
        <v>127</v>
      </c>
      <c r="J207" s="45">
        <v>127</v>
      </c>
      <c r="K207" s="45">
        <v>118</v>
      </c>
      <c r="L207" s="45">
        <v>118</v>
      </c>
      <c r="M207" s="43">
        <v>250</v>
      </c>
      <c r="N207" s="43">
        <v>250</v>
      </c>
      <c r="O207" s="43">
        <v>250</v>
      </c>
      <c r="P207" s="43">
        <v>250</v>
      </c>
      <c r="Q207" s="43">
        <v>115</v>
      </c>
      <c r="R207" s="43">
        <v>115</v>
      </c>
      <c r="S207" s="43">
        <v>115</v>
      </c>
      <c r="T207" s="43">
        <v>115</v>
      </c>
      <c r="U207" s="43">
        <v>115</v>
      </c>
      <c r="V207" s="43">
        <v>115</v>
      </c>
      <c r="W207" s="43">
        <v>115</v>
      </c>
      <c r="X207" s="43">
        <v>115</v>
      </c>
      <c r="Y207" s="43">
        <v>250</v>
      </c>
      <c r="Z207" s="43">
        <v>250</v>
      </c>
      <c r="AA207" s="43">
        <v>250</v>
      </c>
      <c r="AB207" s="43">
        <v>250</v>
      </c>
      <c r="AC207" s="43">
        <v>2</v>
      </c>
      <c r="AD207" s="43">
        <v>4</v>
      </c>
      <c r="AE207" s="43">
        <v>8</v>
      </c>
      <c r="AF207" s="43">
        <v>8</v>
      </c>
      <c r="AG207" s="43">
        <v>0</v>
      </c>
      <c r="AH207" s="43">
        <v>0</v>
      </c>
      <c r="AI207" s="43">
        <v>0</v>
      </c>
      <c r="AJ207" s="43">
        <v>0</v>
      </c>
    </row>
    <row r="208" spans="1:36">
      <c r="A208" t="s">
        <v>112</v>
      </c>
      <c r="B208" t="s">
        <v>314</v>
      </c>
      <c r="C208" s="3" t="s">
        <v>111</v>
      </c>
      <c r="D208" s="3" t="s">
        <v>37</v>
      </c>
      <c r="E208" s="44">
        <v>6000</v>
      </c>
      <c r="F208" s="44">
        <v>6000</v>
      </c>
      <c r="G208" s="44">
        <v>6000</v>
      </c>
      <c r="H208" s="44">
        <v>6000</v>
      </c>
      <c r="I208" s="45">
        <v>125</v>
      </c>
      <c r="J208" s="45">
        <v>125</v>
      </c>
      <c r="K208" s="45">
        <v>115</v>
      </c>
      <c r="L208" s="45">
        <v>115</v>
      </c>
      <c r="M208" s="43">
        <v>250</v>
      </c>
      <c r="N208" s="43">
        <v>250</v>
      </c>
      <c r="O208" s="43">
        <v>250</v>
      </c>
      <c r="P208" s="43">
        <v>250</v>
      </c>
      <c r="Q208" s="43">
        <v>115</v>
      </c>
      <c r="R208" s="43">
        <v>115</v>
      </c>
      <c r="S208" s="43">
        <v>115</v>
      </c>
      <c r="T208" s="43">
        <v>115</v>
      </c>
      <c r="U208" s="43">
        <v>115</v>
      </c>
      <c r="V208" s="43">
        <v>115</v>
      </c>
      <c r="W208" s="43">
        <v>115</v>
      </c>
      <c r="X208" s="43">
        <v>115</v>
      </c>
      <c r="Y208" s="43">
        <v>250</v>
      </c>
      <c r="Z208" s="43">
        <v>250</v>
      </c>
      <c r="AA208" s="43">
        <v>250</v>
      </c>
      <c r="AB208" s="43">
        <v>250</v>
      </c>
      <c r="AC208" s="43">
        <v>2</v>
      </c>
      <c r="AD208" s="43">
        <v>4</v>
      </c>
      <c r="AE208" s="43">
        <v>8</v>
      </c>
      <c r="AF208" s="43">
        <v>8</v>
      </c>
      <c r="AG208" s="43">
        <v>0</v>
      </c>
      <c r="AH208" s="43">
        <v>0</v>
      </c>
      <c r="AI208" s="43">
        <v>0</v>
      </c>
      <c r="AJ208" s="43">
        <v>0</v>
      </c>
    </row>
    <row r="209" spans="1:36">
      <c r="A209" t="s">
        <v>112</v>
      </c>
      <c r="B209" t="s">
        <v>314</v>
      </c>
      <c r="C209" s="3" t="s">
        <v>111</v>
      </c>
      <c r="D209" s="3" t="s">
        <v>37</v>
      </c>
      <c r="E209" s="44">
        <v>7000</v>
      </c>
      <c r="F209" s="44">
        <v>7000</v>
      </c>
      <c r="G209" s="44">
        <v>7000</v>
      </c>
      <c r="H209" s="44">
        <v>7000</v>
      </c>
      <c r="I209" s="45">
        <v>123.57</v>
      </c>
      <c r="J209" s="45">
        <v>123.57</v>
      </c>
      <c r="K209" s="45">
        <v>112.86</v>
      </c>
      <c r="L209" s="45">
        <v>112.86</v>
      </c>
      <c r="M209" s="43">
        <v>250</v>
      </c>
      <c r="N209" s="43">
        <v>250</v>
      </c>
      <c r="O209" s="43">
        <v>250</v>
      </c>
      <c r="P209" s="43">
        <v>250</v>
      </c>
      <c r="Q209" s="43">
        <v>115</v>
      </c>
      <c r="R209" s="43">
        <v>115</v>
      </c>
      <c r="S209" s="43">
        <v>115</v>
      </c>
      <c r="T209" s="43">
        <v>115</v>
      </c>
      <c r="U209" s="43">
        <v>115</v>
      </c>
      <c r="V209" s="43">
        <v>115</v>
      </c>
      <c r="W209" s="43">
        <v>115</v>
      </c>
      <c r="X209" s="43">
        <v>115</v>
      </c>
      <c r="Y209" s="43">
        <v>250</v>
      </c>
      <c r="Z209" s="43">
        <v>250</v>
      </c>
      <c r="AA209" s="43">
        <v>250</v>
      </c>
      <c r="AB209" s="43">
        <v>250</v>
      </c>
      <c r="AC209" s="43">
        <v>2</v>
      </c>
      <c r="AD209" s="43">
        <v>4</v>
      </c>
      <c r="AE209" s="43">
        <v>8</v>
      </c>
      <c r="AF209" s="43">
        <v>8</v>
      </c>
      <c r="AG209" s="43">
        <v>0</v>
      </c>
      <c r="AH209" s="43">
        <v>0</v>
      </c>
      <c r="AI209" s="43">
        <v>0</v>
      </c>
      <c r="AJ209" s="43">
        <v>0</v>
      </c>
    </row>
    <row r="210" spans="1:36">
      <c r="A210" t="s">
        <v>112</v>
      </c>
      <c r="B210" t="s">
        <v>314</v>
      </c>
      <c r="C210" s="3" t="s">
        <v>111</v>
      </c>
      <c r="D210" s="3" t="s">
        <v>37</v>
      </c>
      <c r="E210" s="44">
        <v>8000</v>
      </c>
      <c r="F210" s="44">
        <v>8000</v>
      </c>
      <c r="G210" s="44">
        <v>8000</v>
      </c>
      <c r="H210" s="44">
        <v>8000</v>
      </c>
      <c r="I210" s="45">
        <v>122.5</v>
      </c>
      <c r="J210" s="45">
        <v>122.5</v>
      </c>
      <c r="K210" s="45">
        <v>111.25</v>
      </c>
      <c r="L210" s="45">
        <v>111.25</v>
      </c>
      <c r="M210" s="43">
        <v>250</v>
      </c>
      <c r="N210" s="43">
        <v>250</v>
      </c>
      <c r="O210" s="43">
        <v>250</v>
      </c>
      <c r="P210" s="43">
        <v>250</v>
      </c>
      <c r="Q210" s="43">
        <v>115</v>
      </c>
      <c r="R210" s="43">
        <v>115</v>
      </c>
      <c r="S210" s="43">
        <v>115</v>
      </c>
      <c r="T210" s="43">
        <v>115</v>
      </c>
      <c r="U210" s="43">
        <v>115</v>
      </c>
      <c r="V210" s="43">
        <v>115</v>
      </c>
      <c r="W210" s="43">
        <v>115</v>
      </c>
      <c r="X210" s="43">
        <v>115</v>
      </c>
      <c r="Y210" s="43">
        <v>250</v>
      </c>
      <c r="Z210" s="43">
        <v>250</v>
      </c>
      <c r="AA210" s="43">
        <v>250</v>
      </c>
      <c r="AB210" s="43">
        <v>250</v>
      </c>
      <c r="AC210" s="43">
        <v>2</v>
      </c>
      <c r="AD210" s="43">
        <v>4</v>
      </c>
      <c r="AE210" s="43">
        <v>8</v>
      </c>
      <c r="AF210" s="43">
        <v>8</v>
      </c>
      <c r="AG210" s="43">
        <v>0</v>
      </c>
      <c r="AH210" s="43">
        <v>0</v>
      </c>
      <c r="AI210" s="43">
        <v>0</v>
      </c>
      <c r="AJ210" s="43">
        <v>0</v>
      </c>
    </row>
    <row r="211" spans="1:36">
      <c r="A211" t="s">
        <v>112</v>
      </c>
      <c r="B211" t="s">
        <v>314</v>
      </c>
      <c r="C211" s="3" t="s">
        <v>111</v>
      </c>
      <c r="D211" s="3" t="s">
        <v>37</v>
      </c>
      <c r="E211" s="44">
        <v>9000</v>
      </c>
      <c r="F211" s="44">
        <v>9000</v>
      </c>
      <c r="G211" s="44">
        <v>9000</v>
      </c>
      <c r="H211" s="44">
        <v>9000</v>
      </c>
      <c r="I211" s="45">
        <v>121.67</v>
      </c>
      <c r="J211" s="45">
        <v>121.67</v>
      </c>
      <c r="K211" s="45">
        <v>110</v>
      </c>
      <c r="L211" s="45">
        <v>110</v>
      </c>
      <c r="M211" s="43">
        <v>250</v>
      </c>
      <c r="N211" s="43">
        <v>250</v>
      </c>
      <c r="O211" s="43">
        <v>250</v>
      </c>
      <c r="P211" s="43">
        <v>250</v>
      </c>
      <c r="Q211" s="43">
        <v>115</v>
      </c>
      <c r="R211" s="43">
        <v>115</v>
      </c>
      <c r="S211" s="43">
        <v>115</v>
      </c>
      <c r="T211" s="43">
        <v>115</v>
      </c>
      <c r="U211" s="43">
        <v>115</v>
      </c>
      <c r="V211" s="43">
        <v>115</v>
      </c>
      <c r="W211" s="43">
        <v>115</v>
      </c>
      <c r="X211" s="43">
        <v>115</v>
      </c>
      <c r="Y211" s="43">
        <v>250</v>
      </c>
      <c r="Z211" s="43">
        <v>250</v>
      </c>
      <c r="AA211" s="43">
        <v>250</v>
      </c>
      <c r="AB211" s="43">
        <v>250</v>
      </c>
      <c r="AC211" s="43">
        <v>2</v>
      </c>
      <c r="AD211" s="43">
        <v>4</v>
      </c>
      <c r="AE211" s="43">
        <v>8</v>
      </c>
      <c r="AF211" s="43">
        <v>8</v>
      </c>
      <c r="AG211" s="43">
        <v>0</v>
      </c>
      <c r="AH211" s="43">
        <v>0</v>
      </c>
      <c r="AI211" s="43">
        <v>0</v>
      </c>
      <c r="AJ211" s="43">
        <v>0</v>
      </c>
    </row>
    <row r="212" spans="1:36">
      <c r="A212" t="s">
        <v>112</v>
      </c>
      <c r="B212" t="s">
        <v>314</v>
      </c>
      <c r="C212" s="3" t="s">
        <v>111</v>
      </c>
      <c r="D212" s="3" t="s">
        <v>37</v>
      </c>
      <c r="E212" s="44">
        <v>10000</v>
      </c>
      <c r="F212" s="44">
        <v>10000</v>
      </c>
      <c r="G212" s="44">
        <v>10000</v>
      </c>
      <c r="H212" s="44">
        <v>10000</v>
      </c>
      <c r="I212" s="45">
        <v>121</v>
      </c>
      <c r="J212" s="45">
        <v>121</v>
      </c>
      <c r="K212" s="45">
        <v>109</v>
      </c>
      <c r="L212" s="45">
        <v>109</v>
      </c>
      <c r="M212" s="43">
        <v>250</v>
      </c>
      <c r="N212" s="43">
        <v>250</v>
      </c>
      <c r="O212" s="43">
        <v>250</v>
      </c>
      <c r="P212" s="43">
        <v>250</v>
      </c>
      <c r="Q212" s="43">
        <v>115</v>
      </c>
      <c r="R212" s="43">
        <v>115</v>
      </c>
      <c r="S212" s="43">
        <v>115</v>
      </c>
      <c r="T212" s="43">
        <v>115</v>
      </c>
      <c r="U212" s="43">
        <v>115</v>
      </c>
      <c r="V212" s="43">
        <v>115</v>
      </c>
      <c r="W212" s="43">
        <v>115</v>
      </c>
      <c r="X212" s="43">
        <v>115</v>
      </c>
      <c r="Y212" s="43">
        <v>250</v>
      </c>
      <c r="Z212" s="43">
        <v>250</v>
      </c>
      <c r="AA212" s="43">
        <v>250</v>
      </c>
      <c r="AB212" s="43">
        <v>250</v>
      </c>
      <c r="AC212" s="43">
        <v>2</v>
      </c>
      <c r="AD212" s="43">
        <v>4</v>
      </c>
      <c r="AE212" s="43">
        <v>8</v>
      </c>
      <c r="AF212" s="43">
        <v>8</v>
      </c>
      <c r="AG212" s="43">
        <v>0</v>
      </c>
      <c r="AH212" s="43">
        <v>0</v>
      </c>
      <c r="AI212" s="43">
        <v>0</v>
      </c>
      <c r="AJ212" s="43">
        <v>0</v>
      </c>
    </row>
    <row r="213" spans="1:36">
      <c r="A213" t="s">
        <v>112</v>
      </c>
      <c r="B213" t="s">
        <v>314</v>
      </c>
      <c r="C213" s="3" t="s">
        <v>111</v>
      </c>
      <c r="D213" s="3" t="s">
        <v>37</v>
      </c>
      <c r="E213" s="44">
        <v>11000</v>
      </c>
      <c r="F213" s="44">
        <v>11000</v>
      </c>
      <c r="G213" s="44">
        <v>11000</v>
      </c>
      <c r="H213" s="44">
        <v>11000</v>
      </c>
      <c r="I213" s="45">
        <v>119.09</v>
      </c>
      <c r="J213" s="45">
        <v>119.09</v>
      </c>
      <c r="K213" s="45">
        <v>108.18</v>
      </c>
      <c r="L213" s="45">
        <v>108.18</v>
      </c>
      <c r="M213" s="43">
        <v>250</v>
      </c>
      <c r="N213" s="43">
        <v>250</v>
      </c>
      <c r="O213" s="43">
        <v>250</v>
      </c>
      <c r="P213" s="43">
        <v>250</v>
      </c>
      <c r="Q213" s="43">
        <v>115</v>
      </c>
      <c r="R213" s="43">
        <v>115</v>
      </c>
      <c r="S213" s="43">
        <v>115</v>
      </c>
      <c r="T213" s="43">
        <v>115</v>
      </c>
      <c r="U213" s="43">
        <v>115</v>
      </c>
      <c r="V213" s="43">
        <v>115</v>
      </c>
      <c r="W213" s="43">
        <v>115</v>
      </c>
      <c r="X213" s="43">
        <v>115</v>
      </c>
      <c r="Y213" s="43">
        <v>250</v>
      </c>
      <c r="Z213" s="43">
        <v>250</v>
      </c>
      <c r="AA213" s="43">
        <v>250</v>
      </c>
      <c r="AB213" s="43">
        <v>250</v>
      </c>
      <c r="AC213" s="43">
        <v>2</v>
      </c>
      <c r="AD213" s="43">
        <v>4</v>
      </c>
      <c r="AE213" s="43">
        <v>8</v>
      </c>
      <c r="AF213" s="43">
        <v>8</v>
      </c>
      <c r="AG213" s="43">
        <v>0</v>
      </c>
      <c r="AH213" s="43">
        <v>0</v>
      </c>
      <c r="AI213" s="43">
        <v>0</v>
      </c>
      <c r="AJ213" s="43">
        <v>0</v>
      </c>
    </row>
    <row r="214" spans="1:36">
      <c r="A214" t="s">
        <v>112</v>
      </c>
      <c r="B214" t="s">
        <v>314</v>
      </c>
      <c r="C214" s="3" t="s">
        <v>111</v>
      </c>
      <c r="D214" s="3" t="s">
        <v>37</v>
      </c>
      <c r="E214" s="44">
        <v>12000</v>
      </c>
      <c r="F214" s="44">
        <v>12000</v>
      </c>
      <c r="G214" s="44">
        <v>12000</v>
      </c>
      <c r="H214" s="44">
        <v>12000</v>
      </c>
      <c r="I214" s="45">
        <v>117.5</v>
      </c>
      <c r="J214" s="45">
        <v>117.5</v>
      </c>
      <c r="K214" s="45">
        <v>107.5</v>
      </c>
      <c r="L214" s="45">
        <v>107.5</v>
      </c>
      <c r="M214" s="43">
        <v>250</v>
      </c>
      <c r="N214" s="43">
        <v>250</v>
      </c>
      <c r="O214" s="43">
        <v>250</v>
      </c>
      <c r="P214" s="43">
        <v>250</v>
      </c>
      <c r="Q214" s="43">
        <v>115</v>
      </c>
      <c r="R214" s="43">
        <v>115</v>
      </c>
      <c r="S214" s="43">
        <v>115</v>
      </c>
      <c r="T214" s="43">
        <v>115</v>
      </c>
      <c r="U214" s="43">
        <v>115</v>
      </c>
      <c r="V214" s="43">
        <v>115</v>
      </c>
      <c r="W214" s="43">
        <v>115</v>
      </c>
      <c r="X214" s="43">
        <v>115</v>
      </c>
      <c r="Y214" s="43">
        <v>250</v>
      </c>
      <c r="Z214" s="43">
        <v>250</v>
      </c>
      <c r="AA214" s="43">
        <v>250</v>
      </c>
      <c r="AB214" s="43">
        <v>250</v>
      </c>
      <c r="AC214" s="43">
        <v>2</v>
      </c>
      <c r="AD214" s="43">
        <v>4</v>
      </c>
      <c r="AE214" s="43">
        <v>8</v>
      </c>
      <c r="AF214" s="43">
        <v>8</v>
      </c>
      <c r="AG214" s="43">
        <v>0</v>
      </c>
      <c r="AH214" s="43">
        <v>0</v>
      </c>
      <c r="AI214" s="43">
        <v>0</v>
      </c>
      <c r="AJ214" s="43">
        <v>0</v>
      </c>
    </row>
    <row r="215" spans="1:36">
      <c r="A215" t="s">
        <v>112</v>
      </c>
      <c r="B215" t="s">
        <v>314</v>
      </c>
      <c r="C215" s="3" t="s">
        <v>111</v>
      </c>
      <c r="D215" s="3" t="s">
        <v>37</v>
      </c>
      <c r="E215" s="44">
        <v>13000</v>
      </c>
      <c r="F215" s="44">
        <v>13000</v>
      </c>
      <c r="G215" s="44">
        <v>13000</v>
      </c>
      <c r="H215" s="44">
        <v>13000</v>
      </c>
      <c r="I215" s="45">
        <v>116.15</v>
      </c>
      <c r="J215" s="45">
        <v>116.15</v>
      </c>
      <c r="K215" s="45">
        <v>106.92</v>
      </c>
      <c r="L215" s="45">
        <v>106.92</v>
      </c>
      <c r="M215" s="43">
        <v>250</v>
      </c>
      <c r="N215" s="43">
        <v>250</v>
      </c>
      <c r="O215" s="43">
        <v>250</v>
      </c>
      <c r="P215" s="43">
        <v>250</v>
      </c>
      <c r="Q215" s="43">
        <v>115</v>
      </c>
      <c r="R215" s="43">
        <v>115</v>
      </c>
      <c r="S215" s="43">
        <v>115</v>
      </c>
      <c r="T215" s="43">
        <v>115</v>
      </c>
      <c r="U215" s="43">
        <v>115</v>
      </c>
      <c r="V215" s="43">
        <v>115</v>
      </c>
      <c r="W215" s="43">
        <v>115</v>
      </c>
      <c r="X215" s="43">
        <v>115</v>
      </c>
      <c r="Y215" s="43">
        <v>250</v>
      </c>
      <c r="Z215" s="43">
        <v>250</v>
      </c>
      <c r="AA215" s="43">
        <v>250</v>
      </c>
      <c r="AB215" s="43">
        <v>250</v>
      </c>
      <c r="AC215" s="43">
        <v>2</v>
      </c>
      <c r="AD215" s="43">
        <v>4</v>
      </c>
      <c r="AE215" s="43">
        <v>8</v>
      </c>
      <c r="AF215" s="43">
        <v>8</v>
      </c>
      <c r="AG215" s="43">
        <v>0</v>
      </c>
      <c r="AH215" s="43">
        <v>0</v>
      </c>
      <c r="AI215" s="43">
        <v>0</v>
      </c>
      <c r="AJ215" s="43">
        <v>0</v>
      </c>
    </row>
    <row r="216" spans="1:36">
      <c r="A216" t="s">
        <v>112</v>
      </c>
      <c r="B216" t="s">
        <v>314</v>
      </c>
      <c r="C216" s="3" t="s">
        <v>111</v>
      </c>
      <c r="D216" s="3" t="s">
        <v>37</v>
      </c>
      <c r="E216" s="44">
        <v>14000</v>
      </c>
      <c r="F216" s="44">
        <v>14000</v>
      </c>
      <c r="G216" s="44">
        <v>14000</v>
      </c>
      <c r="H216" s="44">
        <v>14000</v>
      </c>
      <c r="I216" s="45">
        <v>115</v>
      </c>
      <c r="J216" s="45">
        <v>115</v>
      </c>
      <c r="K216" s="45">
        <v>106.43</v>
      </c>
      <c r="L216" s="45">
        <v>106.43</v>
      </c>
      <c r="M216" s="43">
        <v>250</v>
      </c>
      <c r="N216" s="43">
        <v>250</v>
      </c>
      <c r="O216" s="43">
        <v>250</v>
      </c>
      <c r="P216" s="43">
        <v>250</v>
      </c>
      <c r="Q216" s="43">
        <v>115</v>
      </c>
      <c r="R216" s="43">
        <v>115</v>
      </c>
      <c r="S216" s="43">
        <v>115</v>
      </c>
      <c r="T216" s="43">
        <v>115</v>
      </c>
      <c r="U216" s="43">
        <v>115</v>
      </c>
      <c r="V216" s="43">
        <v>115</v>
      </c>
      <c r="W216" s="43">
        <v>115</v>
      </c>
      <c r="X216" s="43">
        <v>115</v>
      </c>
      <c r="Y216" s="43">
        <v>250</v>
      </c>
      <c r="Z216" s="43">
        <v>250</v>
      </c>
      <c r="AA216" s="43">
        <v>250</v>
      </c>
      <c r="AB216" s="43">
        <v>250</v>
      </c>
      <c r="AC216" s="43">
        <v>2</v>
      </c>
      <c r="AD216" s="43">
        <v>4</v>
      </c>
      <c r="AE216" s="43">
        <v>8</v>
      </c>
      <c r="AF216" s="43">
        <v>8</v>
      </c>
      <c r="AG216" s="43">
        <v>0</v>
      </c>
      <c r="AH216" s="43">
        <v>0</v>
      </c>
      <c r="AI216" s="43">
        <v>0</v>
      </c>
      <c r="AJ216" s="43">
        <v>0</v>
      </c>
    </row>
    <row r="217" spans="1:36">
      <c r="A217" t="s">
        <v>112</v>
      </c>
      <c r="B217" t="s">
        <v>314</v>
      </c>
      <c r="C217" s="3" t="s">
        <v>111</v>
      </c>
      <c r="D217" s="3" t="s">
        <v>37</v>
      </c>
      <c r="E217" s="44">
        <v>15000</v>
      </c>
      <c r="F217" s="44">
        <v>15000</v>
      </c>
      <c r="G217" s="44">
        <v>15000</v>
      </c>
      <c r="H217" s="44">
        <v>15000</v>
      </c>
      <c r="I217" s="45">
        <v>114</v>
      </c>
      <c r="J217" s="45">
        <v>114</v>
      </c>
      <c r="K217" s="45">
        <v>106</v>
      </c>
      <c r="L217" s="45">
        <v>106</v>
      </c>
      <c r="M217" s="43">
        <v>250</v>
      </c>
      <c r="N217" s="43">
        <v>250</v>
      </c>
      <c r="O217" s="43">
        <v>250</v>
      </c>
      <c r="P217" s="43">
        <v>250</v>
      </c>
      <c r="Q217" s="43">
        <v>115</v>
      </c>
      <c r="R217" s="43">
        <v>115</v>
      </c>
      <c r="S217" s="43">
        <v>115</v>
      </c>
      <c r="T217" s="43">
        <v>115</v>
      </c>
      <c r="U217" s="43">
        <v>115</v>
      </c>
      <c r="V217" s="43">
        <v>115</v>
      </c>
      <c r="W217" s="43">
        <v>115</v>
      </c>
      <c r="X217" s="43">
        <v>115</v>
      </c>
      <c r="Y217" s="43">
        <v>250</v>
      </c>
      <c r="Z217" s="43">
        <v>250</v>
      </c>
      <c r="AA217" s="43">
        <v>250</v>
      </c>
      <c r="AB217" s="43">
        <v>250</v>
      </c>
      <c r="AC217" s="43">
        <v>2</v>
      </c>
      <c r="AD217" s="43">
        <v>4</v>
      </c>
      <c r="AE217" s="43">
        <v>8</v>
      </c>
      <c r="AF217" s="43">
        <v>8</v>
      </c>
      <c r="AG217" s="43">
        <v>0</v>
      </c>
      <c r="AH217" s="43">
        <v>0</v>
      </c>
      <c r="AI217" s="43">
        <v>0</v>
      </c>
      <c r="AJ217" s="43">
        <v>0</v>
      </c>
    </row>
    <row r="218" spans="1:36">
      <c r="A218" t="s">
        <v>112</v>
      </c>
      <c r="B218" t="s">
        <v>314</v>
      </c>
      <c r="C218" s="3" t="s">
        <v>111</v>
      </c>
      <c r="D218" s="3" t="s">
        <v>37</v>
      </c>
      <c r="E218" s="44">
        <v>16000</v>
      </c>
      <c r="F218" s="44">
        <v>16000</v>
      </c>
      <c r="G218" s="44">
        <v>16000</v>
      </c>
      <c r="H218" s="44">
        <v>16000</v>
      </c>
      <c r="I218" s="45">
        <v>113.13</v>
      </c>
      <c r="J218" s="45">
        <v>113.13</v>
      </c>
      <c r="K218" s="45">
        <v>105.63</v>
      </c>
      <c r="L218" s="45">
        <v>105.63</v>
      </c>
      <c r="M218" s="43">
        <v>250</v>
      </c>
      <c r="N218" s="43">
        <v>250</v>
      </c>
      <c r="O218" s="43">
        <v>250</v>
      </c>
      <c r="P218" s="43">
        <v>250</v>
      </c>
      <c r="Q218" s="43">
        <v>115</v>
      </c>
      <c r="R218" s="43">
        <v>115</v>
      </c>
      <c r="S218" s="43">
        <v>115</v>
      </c>
      <c r="T218" s="43">
        <v>115</v>
      </c>
      <c r="U218" s="43">
        <v>115</v>
      </c>
      <c r="V218" s="43">
        <v>115</v>
      </c>
      <c r="W218" s="43">
        <v>115</v>
      </c>
      <c r="X218" s="43">
        <v>115</v>
      </c>
      <c r="Y218" s="43">
        <v>250</v>
      </c>
      <c r="Z218" s="43">
        <v>250</v>
      </c>
      <c r="AA218" s="43">
        <v>250</v>
      </c>
      <c r="AB218" s="43">
        <v>250</v>
      </c>
      <c r="AC218" s="43">
        <v>2</v>
      </c>
      <c r="AD218" s="43">
        <v>4</v>
      </c>
      <c r="AE218" s="43">
        <v>8</v>
      </c>
      <c r="AF218" s="43">
        <v>8</v>
      </c>
      <c r="AG218" s="43">
        <v>0</v>
      </c>
      <c r="AH218" s="43">
        <v>0</v>
      </c>
      <c r="AI218" s="43">
        <v>0</v>
      </c>
      <c r="AJ218" s="43">
        <v>0</v>
      </c>
    </row>
    <row r="219" spans="1:36">
      <c r="A219" t="s">
        <v>112</v>
      </c>
      <c r="B219" t="s">
        <v>314</v>
      </c>
      <c r="C219" s="3" t="s">
        <v>111</v>
      </c>
      <c r="D219" s="3" t="s">
        <v>37</v>
      </c>
      <c r="E219" s="44">
        <v>17000</v>
      </c>
      <c r="F219" s="44">
        <v>17000</v>
      </c>
      <c r="G219" s="44">
        <v>17000</v>
      </c>
      <c r="H219" s="44">
        <v>17000</v>
      </c>
      <c r="I219" s="45">
        <v>112.35</v>
      </c>
      <c r="J219" s="45">
        <v>112.35</v>
      </c>
      <c r="K219" s="45">
        <v>105.29</v>
      </c>
      <c r="L219" s="45">
        <v>105.29</v>
      </c>
      <c r="M219" s="43">
        <v>250</v>
      </c>
      <c r="N219" s="43">
        <v>250</v>
      </c>
      <c r="O219" s="43">
        <v>250</v>
      </c>
      <c r="P219" s="43">
        <v>250</v>
      </c>
      <c r="Q219" s="43">
        <v>115</v>
      </c>
      <c r="R219" s="43">
        <v>115</v>
      </c>
      <c r="S219" s="43">
        <v>115</v>
      </c>
      <c r="T219" s="43">
        <v>115</v>
      </c>
      <c r="U219" s="43">
        <v>115</v>
      </c>
      <c r="V219" s="43">
        <v>115</v>
      </c>
      <c r="W219" s="43">
        <v>115</v>
      </c>
      <c r="X219" s="43">
        <v>115</v>
      </c>
      <c r="Y219" s="43">
        <v>250</v>
      </c>
      <c r="Z219" s="43">
        <v>250</v>
      </c>
      <c r="AA219" s="43">
        <v>250</v>
      </c>
      <c r="AB219" s="43">
        <v>250</v>
      </c>
      <c r="AC219" s="43">
        <v>2</v>
      </c>
      <c r="AD219" s="43">
        <v>4</v>
      </c>
      <c r="AE219" s="43">
        <v>8</v>
      </c>
      <c r="AF219" s="43">
        <v>8</v>
      </c>
      <c r="AG219" s="43">
        <v>0</v>
      </c>
      <c r="AH219" s="43">
        <v>0</v>
      </c>
      <c r="AI219" s="43">
        <v>0</v>
      </c>
      <c r="AJ219" s="43">
        <v>0</v>
      </c>
    </row>
    <row r="220" spans="1:36">
      <c r="A220" t="s">
        <v>112</v>
      </c>
      <c r="B220" t="s">
        <v>314</v>
      </c>
      <c r="C220" s="3" t="s">
        <v>111</v>
      </c>
      <c r="D220" s="3" t="s">
        <v>37</v>
      </c>
      <c r="E220" s="44">
        <v>18000</v>
      </c>
      <c r="F220" s="44">
        <v>18000</v>
      </c>
      <c r="G220" s="44">
        <v>18000</v>
      </c>
      <c r="H220" s="44">
        <v>18000</v>
      </c>
      <c r="I220" s="45">
        <v>111.67</v>
      </c>
      <c r="J220" s="45">
        <v>111.67</v>
      </c>
      <c r="K220" s="45">
        <v>105</v>
      </c>
      <c r="L220" s="45">
        <v>105</v>
      </c>
      <c r="M220" s="43">
        <v>250</v>
      </c>
      <c r="N220" s="43">
        <v>250</v>
      </c>
      <c r="O220" s="43">
        <v>250</v>
      </c>
      <c r="P220" s="43">
        <v>250</v>
      </c>
      <c r="Q220" s="43">
        <v>115</v>
      </c>
      <c r="R220" s="43">
        <v>115</v>
      </c>
      <c r="S220" s="43">
        <v>115</v>
      </c>
      <c r="T220" s="43">
        <v>115</v>
      </c>
      <c r="U220" s="43">
        <v>115</v>
      </c>
      <c r="V220" s="43">
        <v>115</v>
      </c>
      <c r="W220" s="43">
        <v>115</v>
      </c>
      <c r="X220" s="43">
        <v>115</v>
      </c>
      <c r="Y220" s="43">
        <v>250</v>
      </c>
      <c r="Z220" s="43">
        <v>250</v>
      </c>
      <c r="AA220" s="43">
        <v>250</v>
      </c>
      <c r="AB220" s="43">
        <v>250</v>
      </c>
      <c r="AC220" s="43">
        <v>2</v>
      </c>
      <c r="AD220" s="43">
        <v>4</v>
      </c>
      <c r="AE220" s="43">
        <v>8</v>
      </c>
      <c r="AF220" s="43">
        <v>8</v>
      </c>
      <c r="AG220" s="43">
        <v>0</v>
      </c>
      <c r="AH220" s="43">
        <v>0</v>
      </c>
      <c r="AI220" s="43">
        <v>0</v>
      </c>
      <c r="AJ220" s="43">
        <v>0</v>
      </c>
    </row>
    <row r="221" spans="1:36">
      <c r="A221" t="s">
        <v>112</v>
      </c>
      <c r="B221" t="s">
        <v>314</v>
      </c>
      <c r="C221" s="3" t="s">
        <v>111</v>
      </c>
      <c r="D221" s="3" t="s">
        <v>37</v>
      </c>
      <c r="E221" s="44">
        <v>19000</v>
      </c>
      <c r="F221" s="44">
        <v>19000</v>
      </c>
      <c r="G221" s="44">
        <v>19000</v>
      </c>
      <c r="H221" s="44">
        <v>19000</v>
      </c>
      <c r="I221" s="45">
        <v>111.05</v>
      </c>
      <c r="J221" s="45">
        <v>111.05</v>
      </c>
      <c r="K221" s="45">
        <v>104.74</v>
      </c>
      <c r="L221" s="45">
        <v>104.74</v>
      </c>
      <c r="M221" s="43">
        <v>250</v>
      </c>
      <c r="N221" s="43">
        <v>250</v>
      </c>
      <c r="O221" s="43">
        <v>250</v>
      </c>
      <c r="P221" s="43">
        <v>250</v>
      </c>
      <c r="Q221" s="43">
        <v>115</v>
      </c>
      <c r="R221" s="43">
        <v>115</v>
      </c>
      <c r="S221" s="43">
        <v>115</v>
      </c>
      <c r="T221" s="43">
        <v>115</v>
      </c>
      <c r="U221" s="43">
        <v>115</v>
      </c>
      <c r="V221" s="43">
        <v>115</v>
      </c>
      <c r="W221" s="43">
        <v>115</v>
      </c>
      <c r="X221" s="43">
        <v>115</v>
      </c>
      <c r="Y221" s="43">
        <v>250</v>
      </c>
      <c r="Z221" s="43">
        <v>250</v>
      </c>
      <c r="AA221" s="43">
        <v>250</v>
      </c>
      <c r="AB221" s="43">
        <v>250</v>
      </c>
      <c r="AC221" s="43">
        <v>2</v>
      </c>
      <c r="AD221" s="43">
        <v>4</v>
      </c>
      <c r="AE221" s="43">
        <v>8</v>
      </c>
      <c r="AF221" s="43">
        <v>8</v>
      </c>
      <c r="AG221" s="43">
        <v>0</v>
      </c>
      <c r="AH221" s="43">
        <v>0</v>
      </c>
      <c r="AI221" s="43">
        <v>0</v>
      </c>
      <c r="AJ221" s="43">
        <v>0</v>
      </c>
    </row>
    <row r="222" spans="1:36">
      <c r="A222" t="s">
        <v>112</v>
      </c>
      <c r="B222" t="s">
        <v>314</v>
      </c>
      <c r="C222" s="3" t="s">
        <v>111</v>
      </c>
      <c r="D222" s="3" t="s">
        <v>37</v>
      </c>
      <c r="E222" s="44">
        <v>20000</v>
      </c>
      <c r="F222" s="44">
        <v>20000</v>
      </c>
      <c r="G222" s="44">
        <v>20000</v>
      </c>
      <c r="H222" s="44">
        <v>20000</v>
      </c>
      <c r="I222" s="45">
        <v>110.5</v>
      </c>
      <c r="J222" s="45">
        <v>110.5</v>
      </c>
      <c r="K222" s="45">
        <v>104.5</v>
      </c>
      <c r="L222" s="45">
        <v>104.5</v>
      </c>
      <c r="M222" s="43">
        <v>250</v>
      </c>
      <c r="N222" s="43">
        <v>250</v>
      </c>
      <c r="O222" s="43">
        <v>250</v>
      </c>
      <c r="P222" s="43">
        <v>250</v>
      </c>
      <c r="Q222" s="43">
        <v>115</v>
      </c>
      <c r="R222" s="43">
        <v>115</v>
      </c>
      <c r="S222" s="43">
        <v>115</v>
      </c>
      <c r="T222" s="43">
        <v>115</v>
      </c>
      <c r="U222" s="43">
        <v>115</v>
      </c>
      <c r="V222" s="43">
        <v>115</v>
      </c>
      <c r="W222" s="43">
        <v>115</v>
      </c>
      <c r="X222" s="43">
        <v>115</v>
      </c>
      <c r="Y222" s="43">
        <v>250</v>
      </c>
      <c r="Z222" s="43">
        <v>250</v>
      </c>
      <c r="AA222" s="43">
        <v>250</v>
      </c>
      <c r="AB222" s="43">
        <v>250</v>
      </c>
      <c r="AC222" s="43">
        <v>2</v>
      </c>
      <c r="AD222" s="43">
        <v>4</v>
      </c>
      <c r="AE222" s="43">
        <v>8</v>
      </c>
      <c r="AF222" s="43">
        <v>8</v>
      </c>
      <c r="AG222" s="43">
        <v>0</v>
      </c>
      <c r="AH222" s="43">
        <v>0</v>
      </c>
      <c r="AI222" s="43">
        <v>0</v>
      </c>
      <c r="AJ222" s="43">
        <v>0</v>
      </c>
    </row>
    <row r="223" spans="1:36">
      <c r="A223" t="s">
        <v>112</v>
      </c>
      <c r="B223" t="s">
        <v>314</v>
      </c>
      <c r="C223" s="3" t="s">
        <v>111</v>
      </c>
      <c r="D223" s="3" t="s">
        <v>37</v>
      </c>
      <c r="E223" s="44">
        <v>21000</v>
      </c>
      <c r="F223" s="44">
        <v>21000</v>
      </c>
      <c r="G223" s="44">
        <v>21000</v>
      </c>
      <c r="H223" s="44">
        <v>21000</v>
      </c>
      <c r="I223" s="45">
        <v>110</v>
      </c>
      <c r="J223" s="45">
        <v>110</v>
      </c>
      <c r="K223" s="45">
        <v>104.29</v>
      </c>
      <c r="L223" s="45">
        <v>104.29</v>
      </c>
      <c r="M223" s="43">
        <v>250</v>
      </c>
      <c r="N223" s="43">
        <v>250</v>
      </c>
      <c r="O223" s="43">
        <v>250</v>
      </c>
      <c r="P223" s="43">
        <v>250</v>
      </c>
      <c r="Q223" s="43">
        <v>115</v>
      </c>
      <c r="R223" s="43">
        <v>115</v>
      </c>
      <c r="S223" s="43">
        <v>115</v>
      </c>
      <c r="T223" s="43">
        <v>115</v>
      </c>
      <c r="U223" s="43">
        <v>115</v>
      </c>
      <c r="V223" s="43">
        <v>115</v>
      </c>
      <c r="W223" s="43">
        <v>115</v>
      </c>
      <c r="X223" s="43">
        <v>115</v>
      </c>
      <c r="Y223" s="43">
        <v>250</v>
      </c>
      <c r="Z223" s="43">
        <v>250</v>
      </c>
      <c r="AA223" s="43">
        <v>250</v>
      </c>
      <c r="AB223" s="43">
        <v>250</v>
      </c>
      <c r="AC223" s="43">
        <v>2</v>
      </c>
      <c r="AD223" s="43">
        <v>4</v>
      </c>
      <c r="AE223" s="43">
        <v>8</v>
      </c>
      <c r="AF223" s="43">
        <v>8</v>
      </c>
      <c r="AG223" s="43">
        <v>0</v>
      </c>
      <c r="AH223" s="43">
        <v>0</v>
      </c>
      <c r="AI223" s="43">
        <v>0</v>
      </c>
      <c r="AJ223" s="43">
        <v>0</v>
      </c>
    </row>
    <row r="224" spans="1:36">
      <c r="A224" t="s">
        <v>112</v>
      </c>
      <c r="B224" t="s">
        <v>314</v>
      </c>
      <c r="C224" s="3" t="s">
        <v>111</v>
      </c>
      <c r="D224" s="3" t="s">
        <v>37</v>
      </c>
      <c r="E224" s="44">
        <v>22000</v>
      </c>
      <c r="F224" s="44">
        <v>22000</v>
      </c>
      <c r="G224" s="44">
        <v>22000</v>
      </c>
      <c r="H224" s="44">
        <v>22000</v>
      </c>
      <c r="I224" s="45">
        <v>109.55</v>
      </c>
      <c r="J224" s="45">
        <v>109.55</v>
      </c>
      <c r="K224" s="45">
        <v>104.09</v>
      </c>
      <c r="L224" s="45">
        <v>104.09</v>
      </c>
      <c r="M224" s="43">
        <v>250</v>
      </c>
      <c r="N224" s="43">
        <v>250</v>
      </c>
      <c r="O224" s="43">
        <v>250</v>
      </c>
      <c r="P224" s="43">
        <v>250</v>
      </c>
      <c r="Q224" s="43">
        <v>115</v>
      </c>
      <c r="R224" s="43">
        <v>115</v>
      </c>
      <c r="S224" s="43">
        <v>115</v>
      </c>
      <c r="T224" s="43">
        <v>115</v>
      </c>
      <c r="U224" s="43">
        <v>115</v>
      </c>
      <c r="V224" s="43">
        <v>115</v>
      </c>
      <c r="W224" s="43">
        <v>115</v>
      </c>
      <c r="X224" s="43">
        <v>115</v>
      </c>
      <c r="Y224" s="43">
        <v>250</v>
      </c>
      <c r="Z224" s="43">
        <v>250</v>
      </c>
      <c r="AA224" s="43">
        <v>250</v>
      </c>
      <c r="AB224" s="43">
        <v>250</v>
      </c>
      <c r="AC224" s="43">
        <v>2</v>
      </c>
      <c r="AD224" s="43">
        <v>4</v>
      </c>
      <c r="AE224" s="43">
        <v>8</v>
      </c>
      <c r="AF224" s="43">
        <v>8</v>
      </c>
      <c r="AG224" s="43">
        <v>0</v>
      </c>
      <c r="AH224" s="43">
        <v>0</v>
      </c>
      <c r="AI224" s="43">
        <v>0</v>
      </c>
      <c r="AJ224" s="43">
        <v>0</v>
      </c>
    </row>
    <row r="225" spans="1:36">
      <c r="A225" t="s">
        <v>112</v>
      </c>
      <c r="B225" t="s">
        <v>314</v>
      </c>
      <c r="C225" s="3" t="s">
        <v>111</v>
      </c>
      <c r="D225" s="3" t="s">
        <v>37</v>
      </c>
      <c r="E225" s="44">
        <v>23000</v>
      </c>
      <c r="F225" s="44">
        <v>23000</v>
      </c>
      <c r="G225" s="44">
        <v>23000</v>
      </c>
      <c r="H225" s="44">
        <v>23000</v>
      </c>
      <c r="I225" s="45">
        <v>109.13</v>
      </c>
      <c r="J225" s="45">
        <v>109.13</v>
      </c>
      <c r="K225" s="45">
        <v>103.91</v>
      </c>
      <c r="L225" s="45">
        <v>103.91</v>
      </c>
      <c r="M225" s="43">
        <v>250</v>
      </c>
      <c r="N225" s="43">
        <v>250</v>
      </c>
      <c r="O225" s="43">
        <v>250</v>
      </c>
      <c r="P225" s="43">
        <v>250</v>
      </c>
      <c r="Q225" s="43">
        <v>115</v>
      </c>
      <c r="R225" s="43">
        <v>115</v>
      </c>
      <c r="S225" s="43">
        <v>115</v>
      </c>
      <c r="T225" s="43">
        <v>115</v>
      </c>
      <c r="U225" s="43">
        <v>115</v>
      </c>
      <c r="V225" s="43">
        <v>115</v>
      </c>
      <c r="W225" s="43">
        <v>115</v>
      </c>
      <c r="X225" s="43">
        <v>115</v>
      </c>
      <c r="Y225" s="43">
        <v>250</v>
      </c>
      <c r="Z225" s="43">
        <v>250</v>
      </c>
      <c r="AA225" s="43">
        <v>250</v>
      </c>
      <c r="AB225" s="43">
        <v>250</v>
      </c>
      <c r="AC225" s="43">
        <v>2</v>
      </c>
      <c r="AD225" s="43">
        <v>4</v>
      </c>
      <c r="AE225" s="43">
        <v>8</v>
      </c>
      <c r="AF225" s="43">
        <v>8</v>
      </c>
      <c r="AG225" s="43">
        <v>0</v>
      </c>
      <c r="AH225" s="43">
        <v>0</v>
      </c>
      <c r="AI225" s="43">
        <v>0</v>
      </c>
      <c r="AJ225" s="43">
        <v>0</v>
      </c>
    </row>
    <row r="226" spans="1:36">
      <c r="A226" t="s">
        <v>112</v>
      </c>
      <c r="B226" t="s">
        <v>314</v>
      </c>
      <c r="C226" s="3" t="s">
        <v>111</v>
      </c>
      <c r="D226" s="3" t="s">
        <v>37</v>
      </c>
      <c r="E226" s="44">
        <v>24000</v>
      </c>
      <c r="F226" s="44">
        <v>24000</v>
      </c>
      <c r="G226" s="44">
        <v>24000</v>
      </c>
      <c r="H226" s="44">
        <v>24000</v>
      </c>
      <c r="I226" s="45">
        <v>108.75</v>
      </c>
      <c r="J226" s="45">
        <v>108.75</v>
      </c>
      <c r="K226" s="45">
        <v>103.75</v>
      </c>
      <c r="L226" s="45">
        <v>103.75</v>
      </c>
      <c r="M226" s="43">
        <v>250</v>
      </c>
      <c r="N226" s="43">
        <v>250</v>
      </c>
      <c r="O226" s="43">
        <v>250</v>
      </c>
      <c r="P226" s="43">
        <v>250</v>
      </c>
      <c r="Q226" s="43">
        <v>115</v>
      </c>
      <c r="R226" s="43">
        <v>115</v>
      </c>
      <c r="S226" s="43">
        <v>115</v>
      </c>
      <c r="T226" s="43">
        <v>115</v>
      </c>
      <c r="U226" s="43">
        <v>115</v>
      </c>
      <c r="V226" s="43">
        <v>115</v>
      </c>
      <c r="W226" s="43">
        <v>115</v>
      </c>
      <c r="X226" s="43">
        <v>115</v>
      </c>
      <c r="Y226" s="43">
        <v>250</v>
      </c>
      <c r="Z226" s="43">
        <v>250</v>
      </c>
      <c r="AA226" s="43">
        <v>250</v>
      </c>
      <c r="AB226" s="43">
        <v>250</v>
      </c>
      <c r="AC226" s="43">
        <v>2</v>
      </c>
      <c r="AD226" s="43">
        <v>4</v>
      </c>
      <c r="AE226" s="43">
        <v>8</v>
      </c>
      <c r="AF226" s="43">
        <v>8</v>
      </c>
      <c r="AG226" s="43">
        <v>0</v>
      </c>
      <c r="AH226" s="43">
        <v>0</v>
      </c>
      <c r="AI226" s="43">
        <v>0</v>
      </c>
      <c r="AJ226" s="43">
        <v>0</v>
      </c>
    </row>
    <row r="227" spans="1:36">
      <c r="A227" t="s">
        <v>112</v>
      </c>
      <c r="B227" t="s">
        <v>314</v>
      </c>
      <c r="C227" s="3" t="s">
        <v>111</v>
      </c>
      <c r="D227" s="3" t="s">
        <v>37</v>
      </c>
      <c r="E227" s="44">
        <v>25000</v>
      </c>
      <c r="F227" s="44">
        <v>25000</v>
      </c>
      <c r="G227" s="44">
        <v>25000</v>
      </c>
      <c r="H227" s="44">
        <v>25000</v>
      </c>
      <c r="I227" s="45">
        <v>108.4</v>
      </c>
      <c r="J227" s="45">
        <v>108.4</v>
      </c>
      <c r="K227" s="45">
        <v>103.6</v>
      </c>
      <c r="L227" s="45">
        <v>103.6</v>
      </c>
      <c r="M227" s="43">
        <v>250</v>
      </c>
      <c r="N227" s="43">
        <v>250</v>
      </c>
      <c r="O227" s="43">
        <v>250</v>
      </c>
      <c r="P227" s="43">
        <v>250</v>
      </c>
      <c r="Q227" s="43">
        <v>115</v>
      </c>
      <c r="R227" s="43">
        <v>115</v>
      </c>
      <c r="S227" s="43">
        <v>115</v>
      </c>
      <c r="T227" s="43">
        <v>115</v>
      </c>
      <c r="U227" s="43">
        <v>115</v>
      </c>
      <c r="V227" s="43">
        <v>115</v>
      </c>
      <c r="W227" s="43">
        <v>115</v>
      </c>
      <c r="X227" s="43">
        <v>115</v>
      </c>
      <c r="Y227" s="43">
        <v>250</v>
      </c>
      <c r="Z227" s="43">
        <v>250</v>
      </c>
      <c r="AA227" s="43">
        <v>250</v>
      </c>
      <c r="AB227" s="43">
        <v>250</v>
      </c>
      <c r="AC227" s="43">
        <v>2</v>
      </c>
      <c r="AD227" s="43">
        <v>4</v>
      </c>
      <c r="AE227" s="43">
        <v>8</v>
      </c>
      <c r="AF227" s="43">
        <v>8</v>
      </c>
      <c r="AG227" s="43">
        <v>0</v>
      </c>
      <c r="AH227" s="43">
        <v>0</v>
      </c>
      <c r="AI227" s="43">
        <v>0</v>
      </c>
      <c r="AJ227" s="43">
        <v>0</v>
      </c>
    </row>
    <row r="228" spans="1:36">
      <c r="A228" t="s">
        <v>112</v>
      </c>
      <c r="B228" t="s">
        <v>314</v>
      </c>
      <c r="C228" s="3" t="s">
        <v>111</v>
      </c>
      <c r="D228" s="3" t="s">
        <v>37</v>
      </c>
      <c r="E228" s="44">
        <v>26000</v>
      </c>
      <c r="F228" s="44">
        <v>26000</v>
      </c>
      <c r="G228" s="44">
        <v>26000</v>
      </c>
      <c r="H228" s="44">
        <v>26000</v>
      </c>
      <c r="I228" s="45">
        <v>108.08</v>
      </c>
      <c r="J228" s="45">
        <v>108.08</v>
      </c>
      <c r="K228" s="45">
        <v>103.46</v>
      </c>
      <c r="L228" s="45">
        <v>103.46</v>
      </c>
      <c r="M228" s="43">
        <v>250</v>
      </c>
      <c r="N228" s="43">
        <v>250</v>
      </c>
      <c r="O228" s="43">
        <v>250</v>
      </c>
      <c r="P228" s="43">
        <v>250</v>
      </c>
      <c r="Q228" s="43">
        <v>115</v>
      </c>
      <c r="R228" s="43">
        <v>115</v>
      </c>
      <c r="S228" s="43">
        <v>115</v>
      </c>
      <c r="T228" s="43">
        <v>115</v>
      </c>
      <c r="U228" s="43">
        <v>115</v>
      </c>
      <c r="V228" s="43">
        <v>115</v>
      </c>
      <c r="W228" s="43">
        <v>115</v>
      </c>
      <c r="X228" s="43">
        <v>115</v>
      </c>
      <c r="Y228" s="43">
        <v>250</v>
      </c>
      <c r="Z228" s="43">
        <v>250</v>
      </c>
      <c r="AA228" s="43">
        <v>250</v>
      </c>
      <c r="AB228" s="43">
        <v>250</v>
      </c>
      <c r="AC228" s="43">
        <v>2</v>
      </c>
      <c r="AD228" s="43">
        <v>4</v>
      </c>
      <c r="AE228" s="43">
        <v>8</v>
      </c>
      <c r="AF228" s="43">
        <v>8</v>
      </c>
      <c r="AG228" s="43">
        <v>0</v>
      </c>
      <c r="AH228" s="43">
        <v>0</v>
      </c>
      <c r="AI228" s="43">
        <v>0</v>
      </c>
      <c r="AJ228" s="43">
        <v>0</v>
      </c>
    </row>
    <row r="229" spans="1:36">
      <c r="A229" t="s">
        <v>112</v>
      </c>
      <c r="B229" t="s">
        <v>314</v>
      </c>
      <c r="C229" s="3" t="s">
        <v>111</v>
      </c>
      <c r="D229" s="3" t="s">
        <v>37</v>
      </c>
      <c r="E229" s="44">
        <v>27000</v>
      </c>
      <c r="F229" s="44">
        <v>27000</v>
      </c>
      <c r="G229" s="44">
        <v>27000</v>
      </c>
      <c r="H229" s="44">
        <v>27000</v>
      </c>
      <c r="I229" s="45">
        <v>107.78</v>
      </c>
      <c r="J229" s="45">
        <v>107.78</v>
      </c>
      <c r="K229" s="45">
        <v>103.33</v>
      </c>
      <c r="L229" s="45">
        <v>103.33</v>
      </c>
      <c r="M229" s="43">
        <v>250</v>
      </c>
      <c r="N229" s="43">
        <v>250</v>
      </c>
      <c r="O229" s="43">
        <v>250</v>
      </c>
      <c r="P229" s="43">
        <v>250</v>
      </c>
      <c r="Q229" s="43">
        <v>115</v>
      </c>
      <c r="R229" s="43">
        <v>115</v>
      </c>
      <c r="S229" s="43">
        <v>115</v>
      </c>
      <c r="T229" s="43">
        <v>115</v>
      </c>
      <c r="U229" s="43">
        <v>115</v>
      </c>
      <c r="V229" s="43">
        <v>115</v>
      </c>
      <c r="W229" s="43">
        <v>115</v>
      </c>
      <c r="X229" s="43">
        <v>115</v>
      </c>
      <c r="Y229" s="43">
        <v>250</v>
      </c>
      <c r="Z229" s="43">
        <v>250</v>
      </c>
      <c r="AA229" s="43">
        <v>250</v>
      </c>
      <c r="AB229" s="43">
        <v>250</v>
      </c>
      <c r="AC229" s="43">
        <v>2</v>
      </c>
      <c r="AD229" s="43">
        <v>4</v>
      </c>
      <c r="AE229" s="43">
        <v>8</v>
      </c>
      <c r="AF229" s="43">
        <v>8</v>
      </c>
      <c r="AG229" s="43">
        <v>0</v>
      </c>
      <c r="AH229" s="43">
        <v>0</v>
      </c>
      <c r="AI229" s="43">
        <v>0</v>
      </c>
      <c r="AJ229" s="43">
        <v>0</v>
      </c>
    </row>
    <row r="230" spans="1:36">
      <c r="A230" t="s">
        <v>112</v>
      </c>
      <c r="B230" t="s">
        <v>314</v>
      </c>
      <c r="C230" s="3" t="s">
        <v>111</v>
      </c>
      <c r="D230" s="3" t="s">
        <v>37</v>
      </c>
      <c r="E230" s="44">
        <v>28000</v>
      </c>
      <c r="F230" s="44">
        <v>28000</v>
      </c>
      <c r="G230" s="44">
        <v>28000</v>
      </c>
      <c r="H230" s="44">
        <v>28000</v>
      </c>
      <c r="I230" s="45">
        <v>107.5</v>
      </c>
      <c r="J230" s="45">
        <v>107.5</v>
      </c>
      <c r="K230" s="45">
        <v>103.21</v>
      </c>
      <c r="L230" s="45">
        <v>103.21</v>
      </c>
      <c r="M230" s="43">
        <v>250</v>
      </c>
      <c r="N230" s="43">
        <v>250</v>
      </c>
      <c r="O230" s="43">
        <v>250</v>
      </c>
      <c r="P230" s="43">
        <v>250</v>
      </c>
      <c r="Q230" s="43">
        <v>115</v>
      </c>
      <c r="R230" s="43">
        <v>115</v>
      </c>
      <c r="S230" s="43">
        <v>115</v>
      </c>
      <c r="T230" s="43">
        <v>115</v>
      </c>
      <c r="U230" s="43">
        <v>115</v>
      </c>
      <c r="V230" s="43">
        <v>115</v>
      </c>
      <c r="W230" s="43">
        <v>115</v>
      </c>
      <c r="X230" s="43">
        <v>115</v>
      </c>
      <c r="Y230" s="43">
        <v>250</v>
      </c>
      <c r="Z230" s="43">
        <v>250</v>
      </c>
      <c r="AA230" s="43">
        <v>250</v>
      </c>
      <c r="AB230" s="43">
        <v>250</v>
      </c>
      <c r="AC230" s="43">
        <v>2</v>
      </c>
      <c r="AD230" s="43">
        <v>4</v>
      </c>
      <c r="AE230" s="43">
        <v>8</v>
      </c>
      <c r="AF230" s="43">
        <v>8</v>
      </c>
      <c r="AG230" s="43">
        <v>0</v>
      </c>
      <c r="AH230" s="43">
        <v>0</v>
      </c>
      <c r="AI230" s="43">
        <v>0</v>
      </c>
      <c r="AJ230" s="43">
        <v>0</v>
      </c>
    </row>
    <row r="231" spans="1:36">
      <c r="A231" t="s">
        <v>112</v>
      </c>
      <c r="B231" t="s">
        <v>314</v>
      </c>
      <c r="C231" s="3" t="s">
        <v>111</v>
      </c>
      <c r="D231" s="3" t="s">
        <v>37</v>
      </c>
      <c r="E231" s="44">
        <v>29000</v>
      </c>
      <c r="F231" s="44">
        <v>29000</v>
      </c>
      <c r="G231" s="44">
        <v>29000</v>
      </c>
      <c r="H231" s="44">
        <v>29000</v>
      </c>
      <c r="I231" s="45">
        <v>107.24</v>
      </c>
      <c r="J231" s="45">
        <v>107.24</v>
      </c>
      <c r="K231" s="45">
        <v>103.1</v>
      </c>
      <c r="L231" s="45">
        <v>103.1</v>
      </c>
      <c r="M231" s="43">
        <v>250</v>
      </c>
      <c r="N231" s="43">
        <v>250</v>
      </c>
      <c r="O231" s="43">
        <v>250</v>
      </c>
      <c r="P231" s="43">
        <v>250</v>
      </c>
      <c r="Q231" s="43">
        <v>115</v>
      </c>
      <c r="R231" s="43">
        <v>115</v>
      </c>
      <c r="S231" s="43">
        <v>115</v>
      </c>
      <c r="T231" s="43">
        <v>115</v>
      </c>
      <c r="U231" s="43">
        <v>115</v>
      </c>
      <c r="V231" s="43">
        <v>115</v>
      </c>
      <c r="W231" s="43">
        <v>115</v>
      </c>
      <c r="X231" s="43">
        <v>115</v>
      </c>
      <c r="Y231" s="43">
        <v>250</v>
      </c>
      <c r="Z231" s="43">
        <v>250</v>
      </c>
      <c r="AA231" s="43">
        <v>250</v>
      </c>
      <c r="AB231" s="43">
        <v>250</v>
      </c>
      <c r="AC231" s="43">
        <v>2</v>
      </c>
      <c r="AD231" s="43">
        <v>4</v>
      </c>
      <c r="AE231" s="43">
        <v>8</v>
      </c>
      <c r="AF231" s="43">
        <v>8</v>
      </c>
      <c r="AG231" s="43">
        <v>0</v>
      </c>
      <c r="AH231" s="43">
        <v>0</v>
      </c>
      <c r="AI231" s="43">
        <v>0</v>
      </c>
      <c r="AJ231" s="43">
        <v>0</v>
      </c>
    </row>
    <row r="232" spans="1:36">
      <c r="A232" t="s">
        <v>112</v>
      </c>
      <c r="B232" t="s">
        <v>314</v>
      </c>
      <c r="C232" s="3" t="s">
        <v>111</v>
      </c>
      <c r="D232" s="3" t="s">
        <v>37</v>
      </c>
      <c r="E232" s="44">
        <v>30000</v>
      </c>
      <c r="F232" s="44">
        <v>30000</v>
      </c>
      <c r="G232" s="44">
        <v>30000</v>
      </c>
      <c r="H232" s="44">
        <v>30000</v>
      </c>
      <c r="I232" s="45">
        <v>107</v>
      </c>
      <c r="J232" s="45">
        <v>107</v>
      </c>
      <c r="K232" s="45">
        <v>103</v>
      </c>
      <c r="L232" s="45">
        <v>103</v>
      </c>
      <c r="M232" s="43">
        <v>250</v>
      </c>
      <c r="N232" s="43">
        <v>250</v>
      </c>
      <c r="O232" s="43">
        <v>250</v>
      </c>
      <c r="P232" s="43">
        <v>250</v>
      </c>
      <c r="Q232" s="43">
        <v>115</v>
      </c>
      <c r="R232" s="43">
        <v>115</v>
      </c>
      <c r="S232" s="43">
        <v>115</v>
      </c>
      <c r="T232" s="43">
        <v>115</v>
      </c>
      <c r="U232" s="43">
        <v>115</v>
      </c>
      <c r="V232" s="43">
        <v>115</v>
      </c>
      <c r="W232" s="43">
        <v>115</v>
      </c>
      <c r="X232" s="43">
        <v>115</v>
      </c>
      <c r="Y232" s="43">
        <v>250</v>
      </c>
      <c r="Z232" s="43">
        <v>250</v>
      </c>
      <c r="AA232" s="43">
        <v>250</v>
      </c>
      <c r="AB232" s="43">
        <v>250</v>
      </c>
      <c r="AC232" s="43">
        <v>2</v>
      </c>
      <c r="AD232" s="43">
        <v>4</v>
      </c>
      <c r="AE232" s="43">
        <v>8</v>
      </c>
      <c r="AF232" s="43">
        <v>8</v>
      </c>
      <c r="AG232" s="43">
        <v>0</v>
      </c>
      <c r="AH232" s="43">
        <v>0</v>
      </c>
      <c r="AI232" s="43">
        <v>0</v>
      </c>
      <c r="AJ232" s="43">
        <v>0</v>
      </c>
    </row>
    <row r="233" spans="1:36">
      <c r="A233" t="s">
        <v>112</v>
      </c>
      <c r="B233" t="s">
        <v>314</v>
      </c>
      <c r="C233" s="3" t="s">
        <v>111</v>
      </c>
      <c r="D233" s="3" t="s">
        <v>37</v>
      </c>
      <c r="E233" s="44">
        <v>31000</v>
      </c>
      <c r="F233" s="44">
        <v>31000</v>
      </c>
      <c r="G233" s="44">
        <v>31000</v>
      </c>
      <c r="H233" s="44">
        <v>31000</v>
      </c>
      <c r="I233" s="45">
        <v>106.77</v>
      </c>
      <c r="J233" s="45">
        <v>106.77</v>
      </c>
      <c r="K233" s="45">
        <v>102.9</v>
      </c>
      <c r="L233" s="45">
        <v>102.9</v>
      </c>
      <c r="M233" s="43">
        <v>250</v>
      </c>
      <c r="N233" s="43">
        <v>250</v>
      </c>
      <c r="O233" s="43">
        <v>250</v>
      </c>
      <c r="P233" s="43">
        <v>250</v>
      </c>
      <c r="Q233" s="43">
        <v>115</v>
      </c>
      <c r="R233" s="43">
        <v>115</v>
      </c>
      <c r="S233" s="43">
        <v>115</v>
      </c>
      <c r="T233" s="43">
        <v>115</v>
      </c>
      <c r="U233" s="43">
        <v>115</v>
      </c>
      <c r="V233" s="43">
        <v>115</v>
      </c>
      <c r="W233" s="43">
        <v>115</v>
      </c>
      <c r="X233" s="43">
        <v>115</v>
      </c>
      <c r="Y233" s="43">
        <v>250</v>
      </c>
      <c r="Z233" s="43">
        <v>250</v>
      </c>
      <c r="AA233" s="43">
        <v>250</v>
      </c>
      <c r="AB233" s="43">
        <v>250</v>
      </c>
      <c r="AC233" s="43">
        <v>2</v>
      </c>
      <c r="AD233" s="43">
        <v>4</v>
      </c>
      <c r="AE233" s="43">
        <v>8</v>
      </c>
      <c r="AF233" s="43">
        <v>8</v>
      </c>
      <c r="AG233" s="43">
        <v>0</v>
      </c>
      <c r="AH233" s="43">
        <v>0</v>
      </c>
      <c r="AI233" s="43">
        <v>0</v>
      </c>
      <c r="AJ233" s="43">
        <v>0</v>
      </c>
    </row>
    <row r="234" spans="1:36">
      <c r="A234" t="s">
        <v>112</v>
      </c>
      <c r="B234" t="s">
        <v>314</v>
      </c>
      <c r="C234" s="3" t="s">
        <v>111</v>
      </c>
      <c r="D234" s="3" t="s">
        <v>37</v>
      </c>
      <c r="E234" s="44">
        <v>32000</v>
      </c>
      <c r="F234" s="44">
        <v>32000</v>
      </c>
      <c r="G234" s="44">
        <v>32000</v>
      </c>
      <c r="H234" s="44">
        <v>32000</v>
      </c>
      <c r="I234" s="45">
        <v>106.56</v>
      </c>
      <c r="J234" s="45">
        <v>106.56</v>
      </c>
      <c r="K234" s="45">
        <v>102.81</v>
      </c>
      <c r="L234" s="45">
        <v>102.81</v>
      </c>
      <c r="M234" s="43">
        <v>250</v>
      </c>
      <c r="N234" s="43">
        <v>250</v>
      </c>
      <c r="O234" s="43">
        <v>250</v>
      </c>
      <c r="P234" s="43">
        <v>250</v>
      </c>
      <c r="Q234" s="43">
        <v>115</v>
      </c>
      <c r="R234" s="43">
        <v>115</v>
      </c>
      <c r="S234" s="43">
        <v>115</v>
      </c>
      <c r="T234" s="43">
        <v>115</v>
      </c>
      <c r="U234" s="43">
        <v>115</v>
      </c>
      <c r="V234" s="43">
        <v>115</v>
      </c>
      <c r="W234" s="43">
        <v>115</v>
      </c>
      <c r="X234" s="43">
        <v>115</v>
      </c>
      <c r="Y234" s="43">
        <v>250</v>
      </c>
      <c r="Z234" s="43">
        <v>250</v>
      </c>
      <c r="AA234" s="43">
        <v>250</v>
      </c>
      <c r="AB234" s="43">
        <v>250</v>
      </c>
      <c r="AC234" s="43">
        <v>2</v>
      </c>
      <c r="AD234" s="43">
        <v>4</v>
      </c>
      <c r="AE234" s="43">
        <v>8</v>
      </c>
      <c r="AF234" s="43">
        <v>8</v>
      </c>
      <c r="AG234" s="43">
        <v>0</v>
      </c>
      <c r="AH234" s="43">
        <v>0</v>
      </c>
      <c r="AI234" s="43">
        <v>0</v>
      </c>
      <c r="AJ234" s="43">
        <v>0</v>
      </c>
    </row>
    <row r="235" spans="1:36">
      <c r="A235" t="s">
        <v>112</v>
      </c>
      <c r="B235" t="s">
        <v>314</v>
      </c>
      <c r="C235" s="3" t="s">
        <v>111</v>
      </c>
      <c r="D235" s="3" t="s">
        <v>37</v>
      </c>
      <c r="E235" s="44">
        <v>33000</v>
      </c>
      <c r="F235" s="44">
        <v>33000</v>
      </c>
      <c r="G235" s="44">
        <v>33000</v>
      </c>
      <c r="H235" s="44">
        <v>33000</v>
      </c>
      <c r="I235" s="45">
        <v>106.36</v>
      </c>
      <c r="J235" s="45">
        <v>106.36</v>
      </c>
      <c r="K235" s="45">
        <v>102.73</v>
      </c>
      <c r="L235" s="45">
        <v>102.73</v>
      </c>
      <c r="M235" s="43">
        <v>250</v>
      </c>
      <c r="N235" s="43">
        <v>250</v>
      </c>
      <c r="O235" s="43">
        <v>250</v>
      </c>
      <c r="P235" s="43">
        <v>250</v>
      </c>
      <c r="Q235" s="43">
        <v>115</v>
      </c>
      <c r="R235" s="43">
        <v>115</v>
      </c>
      <c r="S235" s="43">
        <v>115</v>
      </c>
      <c r="T235" s="43">
        <v>115</v>
      </c>
      <c r="U235" s="43">
        <v>115</v>
      </c>
      <c r="V235" s="43">
        <v>115</v>
      </c>
      <c r="W235" s="43">
        <v>115</v>
      </c>
      <c r="X235" s="43">
        <v>115</v>
      </c>
      <c r="Y235" s="43">
        <v>250</v>
      </c>
      <c r="Z235" s="43">
        <v>250</v>
      </c>
      <c r="AA235" s="43">
        <v>250</v>
      </c>
      <c r="AB235" s="43">
        <v>250</v>
      </c>
      <c r="AC235" s="43">
        <v>2</v>
      </c>
      <c r="AD235" s="43">
        <v>4</v>
      </c>
      <c r="AE235" s="43">
        <v>8</v>
      </c>
      <c r="AF235" s="43">
        <v>8</v>
      </c>
      <c r="AG235" s="43">
        <v>0</v>
      </c>
      <c r="AH235" s="43">
        <v>0</v>
      </c>
      <c r="AI235" s="43">
        <v>0</v>
      </c>
      <c r="AJ235" s="43">
        <v>0</v>
      </c>
    </row>
    <row r="236" spans="1:36">
      <c r="A236" t="s">
        <v>112</v>
      </c>
      <c r="B236" t="s">
        <v>314</v>
      </c>
      <c r="C236" s="3" t="s">
        <v>111</v>
      </c>
      <c r="D236" s="3" t="s">
        <v>37</v>
      </c>
      <c r="E236" s="44">
        <v>34000</v>
      </c>
      <c r="F236" s="44">
        <v>34000</v>
      </c>
      <c r="G236" s="44">
        <v>34000</v>
      </c>
      <c r="H236" s="44">
        <v>34000</v>
      </c>
      <c r="I236" s="45">
        <v>106.18</v>
      </c>
      <c r="J236" s="45">
        <v>106.18</v>
      </c>
      <c r="K236" s="45">
        <v>102.65</v>
      </c>
      <c r="L236" s="45">
        <v>102.65</v>
      </c>
      <c r="M236" s="43">
        <v>250</v>
      </c>
      <c r="N236" s="43">
        <v>250</v>
      </c>
      <c r="O236" s="43">
        <v>250</v>
      </c>
      <c r="P236" s="43">
        <v>250</v>
      </c>
      <c r="Q236" s="43">
        <v>115</v>
      </c>
      <c r="R236" s="43">
        <v>115</v>
      </c>
      <c r="S236" s="43">
        <v>115</v>
      </c>
      <c r="T236" s="43">
        <v>115</v>
      </c>
      <c r="U236" s="43">
        <v>115</v>
      </c>
      <c r="V236" s="43">
        <v>115</v>
      </c>
      <c r="W236" s="43">
        <v>115</v>
      </c>
      <c r="X236" s="43">
        <v>115</v>
      </c>
      <c r="Y236" s="43">
        <v>250</v>
      </c>
      <c r="Z236" s="43">
        <v>250</v>
      </c>
      <c r="AA236" s="43">
        <v>250</v>
      </c>
      <c r="AB236" s="43">
        <v>250</v>
      </c>
      <c r="AC236" s="43">
        <v>2</v>
      </c>
      <c r="AD236" s="43">
        <v>4</v>
      </c>
      <c r="AE236" s="43">
        <v>8</v>
      </c>
      <c r="AF236" s="43">
        <v>8</v>
      </c>
      <c r="AG236" s="43">
        <v>0</v>
      </c>
      <c r="AH236" s="43">
        <v>0</v>
      </c>
      <c r="AI236" s="43">
        <v>0</v>
      </c>
      <c r="AJ236" s="43">
        <v>0</v>
      </c>
    </row>
    <row r="237" spans="1:36">
      <c r="A237" t="s">
        <v>112</v>
      </c>
      <c r="B237" t="s">
        <v>314</v>
      </c>
      <c r="C237" s="3" t="s">
        <v>111</v>
      </c>
      <c r="D237" s="3" t="s">
        <v>37</v>
      </c>
      <c r="E237" s="44">
        <v>35000</v>
      </c>
      <c r="F237" s="44">
        <v>35000</v>
      </c>
      <c r="G237" s="44">
        <v>35000</v>
      </c>
      <c r="H237" s="44">
        <v>35000</v>
      </c>
      <c r="I237" s="45">
        <v>106</v>
      </c>
      <c r="J237" s="45">
        <v>106</v>
      </c>
      <c r="K237" s="45">
        <v>102.57</v>
      </c>
      <c r="L237" s="45">
        <v>102.57</v>
      </c>
      <c r="M237" s="43">
        <v>250</v>
      </c>
      <c r="N237" s="43">
        <v>250</v>
      </c>
      <c r="O237" s="43">
        <v>250</v>
      </c>
      <c r="P237" s="43">
        <v>250</v>
      </c>
      <c r="Q237" s="43">
        <v>115</v>
      </c>
      <c r="R237" s="43">
        <v>115</v>
      </c>
      <c r="S237" s="43">
        <v>115</v>
      </c>
      <c r="T237" s="43">
        <v>115</v>
      </c>
      <c r="U237" s="43">
        <v>115</v>
      </c>
      <c r="V237" s="43">
        <v>115</v>
      </c>
      <c r="W237" s="43">
        <v>115</v>
      </c>
      <c r="X237" s="43">
        <v>115</v>
      </c>
      <c r="Y237" s="43">
        <v>250</v>
      </c>
      <c r="Z237" s="43">
        <v>250</v>
      </c>
      <c r="AA237" s="43">
        <v>250</v>
      </c>
      <c r="AB237" s="43">
        <v>250</v>
      </c>
      <c r="AC237" s="43">
        <v>2</v>
      </c>
      <c r="AD237" s="43">
        <v>4</v>
      </c>
      <c r="AE237" s="43">
        <v>8</v>
      </c>
      <c r="AF237" s="43">
        <v>8</v>
      </c>
      <c r="AG237" s="43">
        <v>0</v>
      </c>
      <c r="AH237" s="43">
        <v>0</v>
      </c>
      <c r="AI237" s="43">
        <v>0</v>
      </c>
      <c r="AJ237" s="43">
        <v>0</v>
      </c>
    </row>
    <row r="238" spans="1:36">
      <c r="A238" t="s">
        <v>112</v>
      </c>
      <c r="B238" t="s">
        <v>314</v>
      </c>
      <c r="C238" s="3" t="s">
        <v>111</v>
      </c>
      <c r="D238" s="3" t="s">
        <v>37</v>
      </c>
      <c r="E238" s="44">
        <v>36000</v>
      </c>
      <c r="F238" s="44">
        <v>36000</v>
      </c>
      <c r="G238" s="44">
        <v>36000</v>
      </c>
      <c r="H238" s="44">
        <v>36000</v>
      </c>
      <c r="I238" s="45">
        <v>105.83</v>
      </c>
      <c r="J238" s="45">
        <v>105.83</v>
      </c>
      <c r="K238" s="45">
        <v>102.5</v>
      </c>
      <c r="L238" s="45">
        <v>102.5</v>
      </c>
      <c r="M238" s="43">
        <v>250</v>
      </c>
      <c r="N238" s="43">
        <v>250</v>
      </c>
      <c r="O238" s="43">
        <v>250</v>
      </c>
      <c r="P238" s="43">
        <v>250</v>
      </c>
      <c r="Q238" s="43">
        <v>115</v>
      </c>
      <c r="R238" s="43">
        <v>115</v>
      </c>
      <c r="S238" s="43">
        <v>115</v>
      </c>
      <c r="T238" s="43">
        <v>115</v>
      </c>
      <c r="U238" s="43">
        <v>115</v>
      </c>
      <c r="V238" s="43">
        <v>115</v>
      </c>
      <c r="W238" s="43">
        <v>115</v>
      </c>
      <c r="X238" s="43">
        <v>115</v>
      </c>
      <c r="Y238" s="43">
        <v>250</v>
      </c>
      <c r="Z238" s="43">
        <v>250</v>
      </c>
      <c r="AA238" s="43">
        <v>250</v>
      </c>
      <c r="AB238" s="43">
        <v>250</v>
      </c>
      <c r="AC238" s="43">
        <v>2</v>
      </c>
      <c r="AD238" s="43">
        <v>4</v>
      </c>
      <c r="AE238" s="43">
        <v>8</v>
      </c>
      <c r="AF238" s="43">
        <v>8</v>
      </c>
      <c r="AG238" s="43">
        <v>0</v>
      </c>
      <c r="AH238" s="43">
        <v>0</v>
      </c>
      <c r="AI238" s="43">
        <v>0</v>
      </c>
      <c r="AJ238" s="43">
        <v>0</v>
      </c>
    </row>
    <row r="239" spans="1:36">
      <c r="A239" t="s">
        <v>112</v>
      </c>
      <c r="B239" t="s">
        <v>314</v>
      </c>
      <c r="C239" s="3" t="s">
        <v>111</v>
      </c>
      <c r="D239" s="3" t="s">
        <v>37</v>
      </c>
      <c r="E239" s="44">
        <v>37000</v>
      </c>
      <c r="F239" s="44">
        <v>37000</v>
      </c>
      <c r="G239" s="44">
        <v>37000</v>
      </c>
      <c r="H239" s="44">
        <v>37000</v>
      </c>
      <c r="I239" s="45">
        <v>105.68</v>
      </c>
      <c r="J239" s="45">
        <v>105.68</v>
      </c>
      <c r="K239" s="45">
        <v>102.43</v>
      </c>
      <c r="L239" s="45">
        <v>102.43</v>
      </c>
      <c r="M239" s="43">
        <v>250</v>
      </c>
      <c r="N239" s="43">
        <v>250</v>
      </c>
      <c r="O239" s="43">
        <v>250</v>
      </c>
      <c r="P239" s="43">
        <v>250</v>
      </c>
      <c r="Q239" s="43">
        <v>115</v>
      </c>
      <c r="R239" s="43">
        <v>115</v>
      </c>
      <c r="S239" s="43">
        <v>115</v>
      </c>
      <c r="T239" s="43">
        <v>115</v>
      </c>
      <c r="U239" s="43">
        <v>115</v>
      </c>
      <c r="V239" s="43">
        <v>115</v>
      </c>
      <c r="W239" s="43">
        <v>115</v>
      </c>
      <c r="X239" s="43">
        <v>115</v>
      </c>
      <c r="Y239" s="43">
        <v>250</v>
      </c>
      <c r="Z239" s="43">
        <v>250</v>
      </c>
      <c r="AA239" s="43">
        <v>250</v>
      </c>
      <c r="AB239" s="43">
        <v>250</v>
      </c>
      <c r="AC239" s="43">
        <v>2</v>
      </c>
      <c r="AD239" s="43">
        <v>4</v>
      </c>
      <c r="AE239" s="43">
        <v>8</v>
      </c>
      <c r="AF239" s="43">
        <v>8</v>
      </c>
      <c r="AG239" s="43">
        <v>0</v>
      </c>
      <c r="AH239" s="43">
        <v>0</v>
      </c>
      <c r="AI239" s="43">
        <v>0</v>
      </c>
      <c r="AJ239" s="43">
        <v>0</v>
      </c>
    </row>
    <row r="240" spans="1:36">
      <c r="A240" t="s">
        <v>112</v>
      </c>
      <c r="B240" t="s">
        <v>314</v>
      </c>
      <c r="C240" s="3" t="s">
        <v>111</v>
      </c>
      <c r="D240" s="3" t="s">
        <v>37</v>
      </c>
      <c r="E240" s="44">
        <v>38000</v>
      </c>
      <c r="F240" s="44">
        <v>38000</v>
      </c>
      <c r="G240" s="44">
        <v>38000</v>
      </c>
      <c r="H240" s="44">
        <v>38000</v>
      </c>
      <c r="I240" s="45">
        <v>105.53</v>
      </c>
      <c r="J240" s="45">
        <v>105.53</v>
      </c>
      <c r="K240" s="45">
        <v>102.37</v>
      </c>
      <c r="L240" s="45">
        <v>102.37</v>
      </c>
      <c r="M240" s="43">
        <v>250</v>
      </c>
      <c r="N240" s="43">
        <v>250</v>
      </c>
      <c r="O240" s="43">
        <v>250</v>
      </c>
      <c r="P240" s="43">
        <v>250</v>
      </c>
      <c r="Q240" s="43">
        <v>115</v>
      </c>
      <c r="R240" s="43">
        <v>115</v>
      </c>
      <c r="S240" s="43">
        <v>115</v>
      </c>
      <c r="T240" s="43">
        <v>115</v>
      </c>
      <c r="U240" s="43">
        <v>115</v>
      </c>
      <c r="V240" s="43">
        <v>115</v>
      </c>
      <c r="W240" s="43">
        <v>115</v>
      </c>
      <c r="X240" s="43">
        <v>115</v>
      </c>
      <c r="Y240" s="43">
        <v>250</v>
      </c>
      <c r="Z240" s="43">
        <v>250</v>
      </c>
      <c r="AA240" s="43">
        <v>250</v>
      </c>
      <c r="AB240" s="43">
        <v>250</v>
      </c>
      <c r="AC240" s="43">
        <v>2</v>
      </c>
      <c r="AD240" s="43">
        <v>4</v>
      </c>
      <c r="AE240" s="43">
        <v>8</v>
      </c>
      <c r="AF240" s="43">
        <v>8</v>
      </c>
      <c r="AG240" s="43">
        <v>0</v>
      </c>
      <c r="AH240" s="43">
        <v>0</v>
      </c>
      <c r="AI240" s="43">
        <v>0</v>
      </c>
      <c r="AJ240" s="43">
        <v>0</v>
      </c>
    </row>
    <row r="241" spans="1:36">
      <c r="A241" t="s">
        <v>112</v>
      </c>
      <c r="B241" t="s">
        <v>314</v>
      </c>
      <c r="C241" s="3" t="s">
        <v>111</v>
      </c>
      <c r="D241" s="3" t="s">
        <v>37</v>
      </c>
      <c r="E241" s="44">
        <v>39000</v>
      </c>
      <c r="F241" s="44">
        <v>39000</v>
      </c>
      <c r="G241" s="44">
        <v>39000</v>
      </c>
      <c r="H241" s="44">
        <v>39000</v>
      </c>
      <c r="I241" s="45">
        <v>105.38</v>
      </c>
      <c r="J241" s="45">
        <v>105.38</v>
      </c>
      <c r="K241" s="45">
        <v>102.31</v>
      </c>
      <c r="L241" s="45">
        <v>102.31</v>
      </c>
      <c r="M241" s="43">
        <v>250</v>
      </c>
      <c r="N241" s="43">
        <v>250</v>
      </c>
      <c r="O241" s="43">
        <v>250</v>
      </c>
      <c r="P241" s="43">
        <v>250</v>
      </c>
      <c r="Q241" s="43">
        <v>115</v>
      </c>
      <c r="R241" s="43">
        <v>115</v>
      </c>
      <c r="S241" s="43">
        <v>115</v>
      </c>
      <c r="T241" s="43">
        <v>115</v>
      </c>
      <c r="U241" s="43">
        <v>115</v>
      </c>
      <c r="V241" s="43">
        <v>115</v>
      </c>
      <c r="W241" s="43">
        <v>115</v>
      </c>
      <c r="X241" s="43">
        <v>115</v>
      </c>
      <c r="Y241" s="43">
        <v>250</v>
      </c>
      <c r="Z241" s="43">
        <v>250</v>
      </c>
      <c r="AA241" s="43">
        <v>250</v>
      </c>
      <c r="AB241" s="43">
        <v>250</v>
      </c>
      <c r="AC241" s="43">
        <v>2</v>
      </c>
      <c r="AD241" s="43">
        <v>4</v>
      </c>
      <c r="AE241" s="43">
        <v>8</v>
      </c>
      <c r="AF241" s="43">
        <v>8</v>
      </c>
      <c r="AG241" s="43">
        <v>0</v>
      </c>
      <c r="AH241" s="43">
        <v>0</v>
      </c>
      <c r="AI241" s="43">
        <v>0</v>
      </c>
      <c r="AJ241" s="43">
        <v>0</v>
      </c>
    </row>
    <row r="242" spans="1:36">
      <c r="A242" t="s">
        <v>112</v>
      </c>
      <c r="B242" t="s">
        <v>314</v>
      </c>
      <c r="C242" s="3" t="s">
        <v>111</v>
      </c>
      <c r="D242" s="3" t="s">
        <v>37</v>
      </c>
      <c r="E242" s="44">
        <v>40000</v>
      </c>
      <c r="F242" s="44">
        <v>40000</v>
      </c>
      <c r="G242" s="44">
        <v>40000</v>
      </c>
      <c r="H242" s="44">
        <v>40000</v>
      </c>
      <c r="I242" s="45">
        <v>105.25</v>
      </c>
      <c r="J242" s="45">
        <v>105.25</v>
      </c>
      <c r="K242" s="45">
        <v>102.25</v>
      </c>
      <c r="L242" s="45">
        <v>102.25</v>
      </c>
      <c r="M242" s="43">
        <v>250</v>
      </c>
      <c r="N242" s="43">
        <v>250</v>
      </c>
      <c r="O242" s="43">
        <v>250</v>
      </c>
      <c r="P242" s="43">
        <v>250</v>
      </c>
      <c r="Q242" s="43">
        <v>115</v>
      </c>
      <c r="R242" s="43">
        <v>115</v>
      </c>
      <c r="S242" s="43">
        <v>115</v>
      </c>
      <c r="T242" s="43">
        <v>115</v>
      </c>
      <c r="U242" s="43">
        <v>115</v>
      </c>
      <c r="V242" s="43">
        <v>115</v>
      </c>
      <c r="W242" s="43">
        <v>115</v>
      </c>
      <c r="X242" s="43">
        <v>115</v>
      </c>
      <c r="Y242" s="43">
        <v>250</v>
      </c>
      <c r="Z242" s="43">
        <v>250</v>
      </c>
      <c r="AA242" s="43">
        <v>250</v>
      </c>
      <c r="AB242" s="43">
        <v>250</v>
      </c>
      <c r="AC242" s="43">
        <v>2</v>
      </c>
      <c r="AD242" s="43">
        <v>4</v>
      </c>
      <c r="AE242" s="43">
        <v>8</v>
      </c>
      <c r="AF242" s="43">
        <v>8</v>
      </c>
      <c r="AG242" s="43">
        <v>0</v>
      </c>
      <c r="AH242" s="43">
        <v>0</v>
      </c>
      <c r="AI242" s="43">
        <v>0</v>
      </c>
      <c r="AJ242" s="43">
        <v>0</v>
      </c>
    </row>
    <row r="243" spans="1:36">
      <c r="A243" t="s">
        <v>112</v>
      </c>
      <c r="B243" t="s">
        <v>314</v>
      </c>
      <c r="C243" s="3" t="s">
        <v>111</v>
      </c>
      <c r="D243" s="3" t="s">
        <v>37</v>
      </c>
      <c r="E243" s="44">
        <v>41000</v>
      </c>
      <c r="F243" s="44">
        <v>41000</v>
      </c>
      <c r="G243" s="44">
        <v>41000</v>
      </c>
      <c r="H243" s="44">
        <v>41000</v>
      </c>
      <c r="I243" s="45">
        <v>105.12</v>
      </c>
      <c r="J243" s="45">
        <v>105.12</v>
      </c>
      <c r="K243" s="45">
        <v>102.2</v>
      </c>
      <c r="L243" s="45">
        <v>102.2</v>
      </c>
      <c r="M243" s="43">
        <v>250</v>
      </c>
      <c r="N243" s="43">
        <v>250</v>
      </c>
      <c r="O243" s="43">
        <v>250</v>
      </c>
      <c r="P243" s="43">
        <v>250</v>
      </c>
      <c r="Q243" s="43">
        <v>115</v>
      </c>
      <c r="R243" s="43">
        <v>115</v>
      </c>
      <c r="S243" s="43">
        <v>115</v>
      </c>
      <c r="T243" s="43">
        <v>115</v>
      </c>
      <c r="U243" s="43">
        <v>115</v>
      </c>
      <c r="V243" s="43">
        <v>115</v>
      </c>
      <c r="W243" s="43">
        <v>115</v>
      </c>
      <c r="X243" s="43">
        <v>115</v>
      </c>
      <c r="Y243" s="43">
        <v>250</v>
      </c>
      <c r="Z243" s="43">
        <v>250</v>
      </c>
      <c r="AA243" s="43">
        <v>250</v>
      </c>
      <c r="AB243" s="43">
        <v>250</v>
      </c>
      <c r="AC243" s="43">
        <v>2</v>
      </c>
      <c r="AD243" s="43">
        <v>4</v>
      </c>
      <c r="AE243" s="43">
        <v>8</v>
      </c>
      <c r="AF243" s="43">
        <v>8</v>
      </c>
      <c r="AG243" s="43">
        <v>0</v>
      </c>
      <c r="AH243" s="43">
        <v>0</v>
      </c>
      <c r="AI243" s="43">
        <v>0</v>
      </c>
      <c r="AJ243" s="43">
        <v>0</v>
      </c>
    </row>
    <row r="244" spans="1:36">
      <c r="A244" t="s">
        <v>112</v>
      </c>
      <c r="B244" t="s">
        <v>314</v>
      </c>
      <c r="C244" s="3" t="s">
        <v>111</v>
      </c>
      <c r="D244" s="3" t="s">
        <v>37</v>
      </c>
      <c r="E244" s="44">
        <v>42000</v>
      </c>
      <c r="F244" s="44">
        <v>42000</v>
      </c>
      <c r="G244" s="44">
        <v>42000</v>
      </c>
      <c r="H244" s="44">
        <v>42000</v>
      </c>
      <c r="I244" s="45">
        <v>105</v>
      </c>
      <c r="J244" s="45">
        <v>105</v>
      </c>
      <c r="K244" s="45">
        <v>102.14</v>
      </c>
      <c r="L244" s="45">
        <v>102.14</v>
      </c>
      <c r="M244" s="43">
        <v>250</v>
      </c>
      <c r="N244" s="43">
        <v>250</v>
      </c>
      <c r="O244" s="43">
        <v>250</v>
      </c>
      <c r="P244" s="43">
        <v>250</v>
      </c>
      <c r="Q244" s="43">
        <v>115</v>
      </c>
      <c r="R244" s="43">
        <v>115</v>
      </c>
      <c r="S244" s="43">
        <v>115</v>
      </c>
      <c r="T244" s="43">
        <v>115</v>
      </c>
      <c r="U244" s="43">
        <v>115</v>
      </c>
      <c r="V244" s="43">
        <v>115</v>
      </c>
      <c r="W244" s="43">
        <v>115</v>
      </c>
      <c r="X244" s="43">
        <v>115</v>
      </c>
      <c r="Y244" s="43">
        <v>250</v>
      </c>
      <c r="Z244" s="43">
        <v>250</v>
      </c>
      <c r="AA244" s="43">
        <v>250</v>
      </c>
      <c r="AB244" s="43">
        <v>250</v>
      </c>
      <c r="AC244" s="43">
        <v>2</v>
      </c>
      <c r="AD244" s="43">
        <v>4</v>
      </c>
      <c r="AE244" s="43">
        <v>8</v>
      </c>
      <c r="AF244" s="43">
        <v>8</v>
      </c>
      <c r="AG244" s="43">
        <v>0</v>
      </c>
      <c r="AH244" s="43">
        <v>0</v>
      </c>
      <c r="AI244" s="43">
        <v>0</v>
      </c>
      <c r="AJ244" s="43">
        <v>0</v>
      </c>
    </row>
    <row r="245" spans="1:36">
      <c r="A245" t="s">
        <v>112</v>
      </c>
      <c r="B245" t="s">
        <v>314</v>
      </c>
      <c r="C245" s="3" t="s">
        <v>111</v>
      </c>
      <c r="D245" s="3" t="s">
        <v>37</v>
      </c>
      <c r="E245" s="44">
        <v>43000</v>
      </c>
      <c r="F245" s="44">
        <v>43000</v>
      </c>
      <c r="G245" s="44">
        <v>43000</v>
      </c>
      <c r="H245" s="44">
        <v>43000</v>
      </c>
      <c r="I245" s="45">
        <v>104.88</v>
      </c>
      <c r="J245" s="45">
        <v>104.88</v>
      </c>
      <c r="K245" s="45">
        <v>102.09</v>
      </c>
      <c r="L245" s="45">
        <v>102.09</v>
      </c>
      <c r="M245" s="43">
        <v>250</v>
      </c>
      <c r="N245" s="43">
        <v>250</v>
      </c>
      <c r="O245" s="43">
        <v>250</v>
      </c>
      <c r="P245" s="43">
        <v>250</v>
      </c>
      <c r="Q245" s="43">
        <v>115</v>
      </c>
      <c r="R245" s="43">
        <v>115</v>
      </c>
      <c r="S245" s="43">
        <v>115</v>
      </c>
      <c r="T245" s="43">
        <v>115</v>
      </c>
      <c r="U245" s="43">
        <v>115</v>
      </c>
      <c r="V245" s="43">
        <v>115</v>
      </c>
      <c r="W245" s="43">
        <v>115</v>
      </c>
      <c r="X245" s="43">
        <v>115</v>
      </c>
      <c r="Y245" s="43">
        <v>250</v>
      </c>
      <c r="Z245" s="43">
        <v>250</v>
      </c>
      <c r="AA245" s="43">
        <v>250</v>
      </c>
      <c r="AB245" s="43">
        <v>250</v>
      </c>
      <c r="AC245" s="43">
        <v>2</v>
      </c>
      <c r="AD245" s="43">
        <v>4</v>
      </c>
      <c r="AE245" s="43">
        <v>8</v>
      </c>
      <c r="AF245" s="43">
        <v>8</v>
      </c>
      <c r="AG245" s="43">
        <v>0</v>
      </c>
      <c r="AH245" s="43">
        <v>0</v>
      </c>
      <c r="AI245" s="43">
        <v>0</v>
      </c>
      <c r="AJ245" s="43">
        <v>0</v>
      </c>
    </row>
    <row r="246" spans="1:36">
      <c r="A246" t="s">
        <v>112</v>
      </c>
      <c r="B246" t="s">
        <v>314</v>
      </c>
      <c r="C246" s="3" t="s">
        <v>111</v>
      </c>
      <c r="D246" s="3" t="s">
        <v>37</v>
      </c>
      <c r="E246" s="44">
        <v>44000</v>
      </c>
      <c r="F246" s="44">
        <v>44000</v>
      </c>
      <c r="G246" s="44">
        <v>44000</v>
      </c>
      <c r="H246" s="44">
        <v>44000</v>
      </c>
      <c r="I246" s="45">
        <v>104.77</v>
      </c>
      <c r="J246" s="45">
        <v>104.77</v>
      </c>
      <c r="K246" s="45">
        <v>102.05</v>
      </c>
      <c r="L246" s="45">
        <v>102.05</v>
      </c>
      <c r="M246" s="43">
        <v>250</v>
      </c>
      <c r="N246" s="43">
        <v>250</v>
      </c>
      <c r="O246" s="43">
        <v>250</v>
      </c>
      <c r="P246" s="43">
        <v>250</v>
      </c>
      <c r="Q246" s="43">
        <v>115</v>
      </c>
      <c r="R246" s="43">
        <v>115</v>
      </c>
      <c r="S246" s="43">
        <v>115</v>
      </c>
      <c r="T246" s="43">
        <v>115</v>
      </c>
      <c r="U246" s="43">
        <v>115</v>
      </c>
      <c r="V246" s="43">
        <v>115</v>
      </c>
      <c r="W246" s="43">
        <v>115</v>
      </c>
      <c r="X246" s="43">
        <v>115</v>
      </c>
      <c r="Y246" s="43">
        <v>250</v>
      </c>
      <c r="Z246" s="43">
        <v>250</v>
      </c>
      <c r="AA246" s="43">
        <v>250</v>
      </c>
      <c r="AB246" s="43">
        <v>250</v>
      </c>
      <c r="AC246" s="43">
        <v>2</v>
      </c>
      <c r="AD246" s="43">
        <v>4</v>
      </c>
      <c r="AE246" s="43">
        <v>8</v>
      </c>
      <c r="AF246" s="43">
        <v>8</v>
      </c>
      <c r="AG246" s="43">
        <v>0</v>
      </c>
      <c r="AH246" s="43">
        <v>0</v>
      </c>
      <c r="AI246" s="43">
        <v>0</v>
      </c>
      <c r="AJ246" s="43">
        <v>0</v>
      </c>
    </row>
    <row r="247" spans="1:36">
      <c r="A247" t="s">
        <v>112</v>
      </c>
      <c r="B247" t="s">
        <v>314</v>
      </c>
      <c r="C247" s="3" t="s">
        <v>111</v>
      </c>
      <c r="D247" s="3" t="s">
        <v>37</v>
      </c>
      <c r="E247" s="44">
        <v>45000</v>
      </c>
      <c r="F247" s="44">
        <v>45000</v>
      </c>
      <c r="G247" s="44">
        <v>45000</v>
      </c>
      <c r="H247" s="44">
        <v>45000</v>
      </c>
      <c r="I247" s="45">
        <v>104.67</v>
      </c>
      <c r="J247" s="45">
        <v>104.67</v>
      </c>
      <c r="K247" s="45">
        <v>102</v>
      </c>
      <c r="L247" s="45">
        <v>102</v>
      </c>
      <c r="M247" s="43">
        <v>250</v>
      </c>
      <c r="N247" s="43">
        <v>250</v>
      </c>
      <c r="O247" s="43">
        <v>250</v>
      </c>
      <c r="P247" s="43">
        <v>250</v>
      </c>
      <c r="Q247" s="43">
        <v>115</v>
      </c>
      <c r="R247" s="43">
        <v>115</v>
      </c>
      <c r="S247" s="43">
        <v>115</v>
      </c>
      <c r="T247" s="43">
        <v>115</v>
      </c>
      <c r="U247" s="43">
        <v>115</v>
      </c>
      <c r="V247" s="43">
        <v>115</v>
      </c>
      <c r="W247" s="43">
        <v>115</v>
      </c>
      <c r="X247" s="43">
        <v>115</v>
      </c>
      <c r="Y247" s="43">
        <v>250</v>
      </c>
      <c r="Z247" s="43">
        <v>250</v>
      </c>
      <c r="AA247" s="43">
        <v>250</v>
      </c>
      <c r="AB247" s="43">
        <v>250</v>
      </c>
      <c r="AC247" s="43">
        <v>2</v>
      </c>
      <c r="AD247" s="43">
        <v>4</v>
      </c>
      <c r="AE247" s="43">
        <v>8</v>
      </c>
      <c r="AF247" s="43">
        <v>8</v>
      </c>
      <c r="AG247" s="43">
        <v>0</v>
      </c>
      <c r="AH247" s="43">
        <v>0</v>
      </c>
      <c r="AI247" s="43">
        <v>0</v>
      </c>
      <c r="AJ247" s="43">
        <v>0</v>
      </c>
    </row>
    <row r="248" spans="1:36">
      <c r="A248" t="s">
        <v>112</v>
      </c>
      <c r="B248" t="s">
        <v>314</v>
      </c>
      <c r="C248" s="3" t="s">
        <v>111</v>
      </c>
      <c r="D248" s="3" t="s">
        <v>37</v>
      </c>
      <c r="E248" s="44">
        <v>46000</v>
      </c>
      <c r="F248" s="44">
        <v>46000</v>
      </c>
      <c r="G248" s="44">
        <v>46000</v>
      </c>
      <c r="H248" s="44">
        <v>46000</v>
      </c>
      <c r="I248" s="45">
        <v>104.57</v>
      </c>
      <c r="J248" s="45">
        <v>104.57</v>
      </c>
      <c r="K248" s="45">
        <v>101.96</v>
      </c>
      <c r="L248" s="45">
        <v>101.96</v>
      </c>
      <c r="M248" s="43">
        <v>250</v>
      </c>
      <c r="N248" s="43">
        <v>250</v>
      </c>
      <c r="O248" s="43">
        <v>250</v>
      </c>
      <c r="P248" s="43">
        <v>250</v>
      </c>
      <c r="Q248" s="43">
        <v>115</v>
      </c>
      <c r="R248" s="43">
        <v>115</v>
      </c>
      <c r="S248" s="43">
        <v>115</v>
      </c>
      <c r="T248" s="43">
        <v>115</v>
      </c>
      <c r="U248" s="43">
        <v>115</v>
      </c>
      <c r="V248" s="43">
        <v>115</v>
      </c>
      <c r="W248" s="43">
        <v>115</v>
      </c>
      <c r="X248" s="43">
        <v>115</v>
      </c>
      <c r="Y248" s="43">
        <v>250</v>
      </c>
      <c r="Z248" s="43">
        <v>250</v>
      </c>
      <c r="AA248" s="43">
        <v>250</v>
      </c>
      <c r="AB248" s="43">
        <v>250</v>
      </c>
      <c r="AC248" s="43">
        <v>2</v>
      </c>
      <c r="AD248" s="43">
        <v>4</v>
      </c>
      <c r="AE248" s="43">
        <v>8</v>
      </c>
      <c r="AF248" s="43">
        <v>8</v>
      </c>
      <c r="AG248" s="43">
        <v>0</v>
      </c>
      <c r="AH248" s="43">
        <v>0</v>
      </c>
      <c r="AI248" s="43">
        <v>0</v>
      </c>
      <c r="AJ248" s="43">
        <v>0</v>
      </c>
    </row>
    <row r="249" spans="1:36">
      <c r="A249" t="s">
        <v>112</v>
      </c>
      <c r="B249" t="s">
        <v>314</v>
      </c>
      <c r="C249" s="3" t="s">
        <v>111</v>
      </c>
      <c r="D249" s="3" t="s">
        <v>37</v>
      </c>
      <c r="E249" s="44">
        <v>47000</v>
      </c>
      <c r="F249" s="44">
        <v>47000</v>
      </c>
      <c r="G249" s="44">
        <v>47000</v>
      </c>
      <c r="H249" s="44">
        <v>47000</v>
      </c>
      <c r="I249" s="45">
        <v>104.47</v>
      </c>
      <c r="J249" s="45">
        <v>104.47</v>
      </c>
      <c r="K249" s="45">
        <v>101.91</v>
      </c>
      <c r="L249" s="45">
        <v>101.91</v>
      </c>
      <c r="M249" s="43">
        <v>250</v>
      </c>
      <c r="N249" s="43">
        <v>250</v>
      </c>
      <c r="O249" s="43">
        <v>250</v>
      </c>
      <c r="P249" s="43">
        <v>250</v>
      </c>
      <c r="Q249" s="43">
        <v>115</v>
      </c>
      <c r="R249" s="43">
        <v>115</v>
      </c>
      <c r="S249" s="43">
        <v>115</v>
      </c>
      <c r="T249" s="43">
        <v>115</v>
      </c>
      <c r="U249" s="43">
        <v>115</v>
      </c>
      <c r="V249" s="43">
        <v>115</v>
      </c>
      <c r="W249" s="43">
        <v>115</v>
      </c>
      <c r="X249" s="43">
        <v>115</v>
      </c>
      <c r="Y249" s="43">
        <v>250</v>
      </c>
      <c r="Z249" s="43">
        <v>250</v>
      </c>
      <c r="AA249" s="43">
        <v>250</v>
      </c>
      <c r="AB249" s="43">
        <v>250</v>
      </c>
      <c r="AC249" s="43">
        <v>2</v>
      </c>
      <c r="AD249" s="43">
        <v>4</v>
      </c>
      <c r="AE249" s="43">
        <v>8</v>
      </c>
      <c r="AF249" s="43">
        <v>8</v>
      </c>
      <c r="AG249" s="43">
        <v>0</v>
      </c>
      <c r="AH249" s="43">
        <v>0</v>
      </c>
      <c r="AI249" s="43">
        <v>0</v>
      </c>
      <c r="AJ249" s="43">
        <v>0</v>
      </c>
    </row>
    <row r="250" spans="1:36">
      <c r="A250" t="s">
        <v>112</v>
      </c>
      <c r="B250" t="s">
        <v>314</v>
      </c>
      <c r="C250" s="3" t="s">
        <v>111</v>
      </c>
      <c r="D250" s="3" t="s">
        <v>37</v>
      </c>
      <c r="E250" s="44">
        <v>48000</v>
      </c>
      <c r="F250" s="44">
        <v>48000</v>
      </c>
      <c r="G250" s="44">
        <v>48000</v>
      </c>
      <c r="H250" s="44">
        <v>48000</v>
      </c>
      <c r="I250" s="45">
        <v>104.38</v>
      </c>
      <c r="J250" s="45">
        <v>104.38</v>
      </c>
      <c r="K250" s="45">
        <v>101.88</v>
      </c>
      <c r="L250" s="45">
        <v>101.88</v>
      </c>
      <c r="M250" s="43">
        <v>250</v>
      </c>
      <c r="N250" s="43">
        <v>250</v>
      </c>
      <c r="O250" s="43">
        <v>250</v>
      </c>
      <c r="P250" s="43">
        <v>250</v>
      </c>
      <c r="Q250" s="43">
        <v>115</v>
      </c>
      <c r="R250" s="43">
        <v>115</v>
      </c>
      <c r="S250" s="43">
        <v>115</v>
      </c>
      <c r="T250" s="43">
        <v>115</v>
      </c>
      <c r="U250" s="43">
        <v>115</v>
      </c>
      <c r="V250" s="43">
        <v>115</v>
      </c>
      <c r="W250" s="43">
        <v>115</v>
      </c>
      <c r="X250" s="43">
        <v>115</v>
      </c>
      <c r="Y250" s="43">
        <v>250</v>
      </c>
      <c r="Z250" s="43">
        <v>250</v>
      </c>
      <c r="AA250" s="43">
        <v>250</v>
      </c>
      <c r="AB250" s="43">
        <v>250</v>
      </c>
      <c r="AC250" s="43">
        <v>2</v>
      </c>
      <c r="AD250" s="43">
        <v>4</v>
      </c>
      <c r="AE250" s="43">
        <v>8</v>
      </c>
      <c r="AF250" s="43">
        <v>8</v>
      </c>
      <c r="AG250" s="43">
        <v>0</v>
      </c>
      <c r="AH250" s="43">
        <v>0</v>
      </c>
      <c r="AI250" s="43">
        <v>0</v>
      </c>
      <c r="AJ250" s="43">
        <v>0</v>
      </c>
    </row>
    <row r="251" spans="1:36">
      <c r="A251" t="s">
        <v>112</v>
      </c>
      <c r="B251" t="s">
        <v>314</v>
      </c>
      <c r="C251" s="3" t="s">
        <v>111</v>
      </c>
      <c r="D251" s="3" t="s">
        <v>37</v>
      </c>
      <c r="E251" s="44">
        <v>49000</v>
      </c>
      <c r="F251" s="44">
        <v>49000</v>
      </c>
      <c r="G251" s="44">
        <v>49000</v>
      </c>
      <c r="H251" s="44">
        <v>49000</v>
      </c>
      <c r="I251" s="45">
        <v>104.29</v>
      </c>
      <c r="J251" s="45">
        <v>104.29</v>
      </c>
      <c r="K251" s="45">
        <v>101.84</v>
      </c>
      <c r="L251" s="45">
        <v>101.84</v>
      </c>
      <c r="M251" s="43">
        <v>250</v>
      </c>
      <c r="N251" s="43">
        <v>250</v>
      </c>
      <c r="O251" s="43">
        <v>250</v>
      </c>
      <c r="P251" s="43">
        <v>250</v>
      </c>
      <c r="Q251" s="43">
        <v>115</v>
      </c>
      <c r="R251" s="43">
        <v>115</v>
      </c>
      <c r="S251" s="43">
        <v>115</v>
      </c>
      <c r="T251" s="43">
        <v>115</v>
      </c>
      <c r="U251" s="43">
        <v>115</v>
      </c>
      <c r="V251" s="43">
        <v>115</v>
      </c>
      <c r="W251" s="43">
        <v>115</v>
      </c>
      <c r="X251" s="43">
        <v>115</v>
      </c>
      <c r="Y251" s="43">
        <v>250</v>
      </c>
      <c r="Z251" s="43">
        <v>250</v>
      </c>
      <c r="AA251" s="43">
        <v>250</v>
      </c>
      <c r="AB251" s="43">
        <v>250</v>
      </c>
      <c r="AC251" s="43">
        <v>2</v>
      </c>
      <c r="AD251" s="43">
        <v>4</v>
      </c>
      <c r="AE251" s="43">
        <v>8</v>
      </c>
      <c r="AF251" s="43">
        <v>8</v>
      </c>
      <c r="AG251" s="43">
        <v>0</v>
      </c>
      <c r="AH251" s="43">
        <v>0</v>
      </c>
      <c r="AI251" s="43">
        <v>0</v>
      </c>
      <c r="AJ251" s="43">
        <v>0</v>
      </c>
    </row>
    <row r="252" spans="1:36">
      <c r="A252" t="s">
        <v>112</v>
      </c>
      <c r="B252" t="s">
        <v>314</v>
      </c>
      <c r="C252" s="3" t="s">
        <v>111</v>
      </c>
      <c r="D252" s="3" t="s">
        <v>37</v>
      </c>
      <c r="E252" s="44">
        <v>50000</v>
      </c>
      <c r="F252" s="44">
        <v>50000</v>
      </c>
      <c r="G252" s="44">
        <v>50000</v>
      </c>
      <c r="H252" s="44">
        <v>50000</v>
      </c>
      <c r="I252" s="45">
        <v>104.2</v>
      </c>
      <c r="J252" s="45">
        <v>104.2</v>
      </c>
      <c r="K252" s="45">
        <v>101.8</v>
      </c>
      <c r="L252" s="45">
        <v>101.8</v>
      </c>
      <c r="M252" s="43">
        <v>250</v>
      </c>
      <c r="N252" s="43">
        <v>250</v>
      </c>
      <c r="O252" s="43">
        <v>250</v>
      </c>
      <c r="P252" s="43">
        <v>250</v>
      </c>
      <c r="Q252" s="43">
        <v>115</v>
      </c>
      <c r="R252" s="43">
        <v>115</v>
      </c>
      <c r="S252" s="43">
        <v>115</v>
      </c>
      <c r="T252" s="43">
        <v>115</v>
      </c>
      <c r="U252" s="43">
        <v>115</v>
      </c>
      <c r="V252" s="43">
        <v>115</v>
      </c>
      <c r="W252" s="43">
        <v>115</v>
      </c>
      <c r="X252" s="43">
        <v>115</v>
      </c>
      <c r="Y252" s="43">
        <v>250</v>
      </c>
      <c r="Z252" s="43">
        <v>250</v>
      </c>
      <c r="AA252" s="43">
        <v>250</v>
      </c>
      <c r="AB252" s="43">
        <v>250</v>
      </c>
      <c r="AC252" s="43">
        <v>2</v>
      </c>
      <c r="AD252" s="43">
        <v>4</v>
      </c>
      <c r="AE252" s="43">
        <v>8</v>
      </c>
      <c r="AF252" s="43">
        <v>8</v>
      </c>
      <c r="AG252" s="43">
        <v>0</v>
      </c>
      <c r="AH252" s="43">
        <v>0</v>
      </c>
      <c r="AI252" s="43">
        <v>0</v>
      </c>
      <c r="AJ252" s="43">
        <v>0</v>
      </c>
    </row>
    <row r="253" spans="1:36">
      <c r="A253" t="s">
        <v>112</v>
      </c>
      <c r="B253" t="s">
        <v>314</v>
      </c>
      <c r="C253" s="3" t="s">
        <v>111</v>
      </c>
      <c r="D253" s="3" t="s">
        <v>37</v>
      </c>
      <c r="E253" s="44">
        <v>51000</v>
      </c>
      <c r="F253" s="44">
        <v>51000</v>
      </c>
      <c r="G253" s="44">
        <v>51000</v>
      </c>
      <c r="H253" s="44">
        <v>51000</v>
      </c>
      <c r="I253" s="45">
        <v>104.12</v>
      </c>
      <c r="J253" s="45">
        <v>104.12</v>
      </c>
      <c r="K253" s="45">
        <v>101.76</v>
      </c>
      <c r="L253" s="45">
        <v>101.76</v>
      </c>
      <c r="M253" s="43">
        <v>250</v>
      </c>
      <c r="N253" s="43">
        <v>250</v>
      </c>
      <c r="O253" s="43">
        <v>250</v>
      </c>
      <c r="P253" s="43">
        <v>250</v>
      </c>
      <c r="Q253" s="43">
        <v>115</v>
      </c>
      <c r="R253" s="43">
        <v>115</v>
      </c>
      <c r="S253" s="43">
        <v>115</v>
      </c>
      <c r="T253" s="43">
        <v>115</v>
      </c>
      <c r="U253" s="43">
        <v>115</v>
      </c>
      <c r="V253" s="43">
        <v>115</v>
      </c>
      <c r="W253" s="43">
        <v>115</v>
      </c>
      <c r="X253" s="43">
        <v>115</v>
      </c>
      <c r="Y253" s="43">
        <v>250</v>
      </c>
      <c r="Z253" s="43">
        <v>250</v>
      </c>
      <c r="AA253" s="43">
        <v>250</v>
      </c>
      <c r="AB253" s="43">
        <v>250</v>
      </c>
      <c r="AC253" s="43">
        <v>2</v>
      </c>
      <c r="AD253" s="43">
        <v>4</v>
      </c>
      <c r="AE253" s="43">
        <v>8</v>
      </c>
      <c r="AF253" s="43">
        <v>8</v>
      </c>
      <c r="AG253" s="43">
        <v>0</v>
      </c>
      <c r="AH253" s="43">
        <v>0</v>
      </c>
      <c r="AI253" s="43">
        <v>0</v>
      </c>
      <c r="AJ253" s="43">
        <v>0</v>
      </c>
    </row>
    <row r="254" spans="1:36">
      <c r="A254" t="s">
        <v>112</v>
      </c>
      <c r="B254" t="s">
        <v>314</v>
      </c>
      <c r="C254" s="3" t="s">
        <v>111</v>
      </c>
      <c r="D254" s="3" t="s">
        <v>37</v>
      </c>
      <c r="E254" s="44">
        <v>52000</v>
      </c>
      <c r="F254" s="44">
        <v>52000</v>
      </c>
      <c r="G254" s="44">
        <v>52000</v>
      </c>
      <c r="H254" s="44">
        <v>52000</v>
      </c>
      <c r="I254" s="45">
        <v>104.04</v>
      </c>
      <c r="J254" s="45">
        <v>104.04</v>
      </c>
      <c r="K254" s="45">
        <v>101.73</v>
      </c>
      <c r="L254" s="45">
        <v>101.73</v>
      </c>
      <c r="M254" s="43">
        <v>250</v>
      </c>
      <c r="N254" s="43">
        <v>250</v>
      </c>
      <c r="O254" s="43">
        <v>250</v>
      </c>
      <c r="P254" s="43">
        <v>250</v>
      </c>
      <c r="Q254" s="43">
        <v>115</v>
      </c>
      <c r="R254" s="43">
        <v>115</v>
      </c>
      <c r="S254" s="43">
        <v>115</v>
      </c>
      <c r="T254" s="43">
        <v>115</v>
      </c>
      <c r="U254" s="43">
        <v>115</v>
      </c>
      <c r="V254" s="43">
        <v>115</v>
      </c>
      <c r="W254" s="43">
        <v>115</v>
      </c>
      <c r="X254" s="43">
        <v>115</v>
      </c>
      <c r="Y254" s="43">
        <v>250</v>
      </c>
      <c r="Z254" s="43">
        <v>250</v>
      </c>
      <c r="AA254" s="43">
        <v>250</v>
      </c>
      <c r="AB254" s="43">
        <v>250</v>
      </c>
      <c r="AC254" s="43">
        <v>2</v>
      </c>
      <c r="AD254" s="43">
        <v>4</v>
      </c>
      <c r="AE254" s="43">
        <v>8</v>
      </c>
      <c r="AF254" s="43">
        <v>8</v>
      </c>
      <c r="AG254" s="43">
        <v>0</v>
      </c>
      <c r="AH254" s="43">
        <v>0</v>
      </c>
      <c r="AI254" s="43">
        <v>0</v>
      </c>
      <c r="AJ254" s="43">
        <v>0</v>
      </c>
    </row>
    <row r="255" spans="1:36">
      <c r="A255" t="s">
        <v>112</v>
      </c>
      <c r="B255" t="s">
        <v>314</v>
      </c>
      <c r="C255" s="3" t="s">
        <v>111</v>
      </c>
      <c r="D255" s="3" t="s">
        <v>37</v>
      </c>
      <c r="E255" s="44">
        <v>53000</v>
      </c>
      <c r="F255" s="44">
        <v>53000</v>
      </c>
      <c r="G255" s="44">
        <v>53000</v>
      </c>
      <c r="H255" s="44">
        <v>53000</v>
      </c>
      <c r="I255" s="45">
        <v>103.96</v>
      </c>
      <c r="J255" s="45">
        <v>103.96</v>
      </c>
      <c r="K255" s="45">
        <v>101.7</v>
      </c>
      <c r="L255" s="45">
        <v>101.7</v>
      </c>
      <c r="M255" s="43">
        <v>250</v>
      </c>
      <c r="N255" s="43">
        <v>250</v>
      </c>
      <c r="O255" s="43">
        <v>250</v>
      </c>
      <c r="P255" s="43">
        <v>250</v>
      </c>
      <c r="Q255" s="43">
        <v>115</v>
      </c>
      <c r="R255" s="43">
        <v>115</v>
      </c>
      <c r="S255" s="43">
        <v>115</v>
      </c>
      <c r="T255" s="43">
        <v>115</v>
      </c>
      <c r="U255" s="43">
        <v>115</v>
      </c>
      <c r="V255" s="43">
        <v>115</v>
      </c>
      <c r="W255" s="43">
        <v>115</v>
      </c>
      <c r="X255" s="43">
        <v>115</v>
      </c>
      <c r="Y255" s="43">
        <v>250</v>
      </c>
      <c r="Z255" s="43">
        <v>250</v>
      </c>
      <c r="AA255" s="43">
        <v>250</v>
      </c>
      <c r="AB255" s="43">
        <v>250</v>
      </c>
      <c r="AC255" s="43">
        <v>2</v>
      </c>
      <c r="AD255" s="43">
        <v>4</v>
      </c>
      <c r="AE255" s="43">
        <v>8</v>
      </c>
      <c r="AF255" s="43">
        <v>8</v>
      </c>
      <c r="AG255" s="43">
        <v>0</v>
      </c>
      <c r="AH255" s="43">
        <v>0</v>
      </c>
      <c r="AI255" s="43">
        <v>0</v>
      </c>
      <c r="AJ255" s="43">
        <v>0</v>
      </c>
    </row>
    <row r="256" spans="1:36">
      <c r="A256" t="s">
        <v>112</v>
      </c>
      <c r="B256" t="s">
        <v>314</v>
      </c>
      <c r="C256" s="3" t="s">
        <v>111</v>
      </c>
      <c r="D256" s="3" t="s">
        <v>37</v>
      </c>
      <c r="E256" s="44">
        <v>54000</v>
      </c>
      <c r="F256" s="44">
        <v>54000</v>
      </c>
      <c r="G256" s="44">
        <v>54000</v>
      </c>
      <c r="H256" s="44">
        <v>54000</v>
      </c>
      <c r="I256" s="45">
        <v>103.89</v>
      </c>
      <c r="J256" s="45">
        <v>103.89</v>
      </c>
      <c r="K256" s="45">
        <v>101.67</v>
      </c>
      <c r="L256" s="45">
        <v>101.67</v>
      </c>
      <c r="M256" s="43">
        <v>250</v>
      </c>
      <c r="N256" s="43">
        <v>250</v>
      </c>
      <c r="O256" s="43">
        <v>250</v>
      </c>
      <c r="P256" s="43">
        <v>250</v>
      </c>
      <c r="Q256" s="43">
        <v>115</v>
      </c>
      <c r="R256" s="43">
        <v>115</v>
      </c>
      <c r="S256" s="43">
        <v>115</v>
      </c>
      <c r="T256" s="43">
        <v>115</v>
      </c>
      <c r="U256" s="43">
        <v>115</v>
      </c>
      <c r="V256" s="43">
        <v>115</v>
      </c>
      <c r="W256" s="43">
        <v>115</v>
      </c>
      <c r="X256" s="43">
        <v>115</v>
      </c>
      <c r="Y256" s="43">
        <v>250</v>
      </c>
      <c r="Z256" s="43">
        <v>250</v>
      </c>
      <c r="AA256" s="43">
        <v>250</v>
      </c>
      <c r="AB256" s="43">
        <v>250</v>
      </c>
      <c r="AC256" s="43">
        <v>2</v>
      </c>
      <c r="AD256" s="43">
        <v>4</v>
      </c>
      <c r="AE256" s="43">
        <v>8</v>
      </c>
      <c r="AF256" s="43">
        <v>8</v>
      </c>
      <c r="AG256" s="43">
        <v>0</v>
      </c>
      <c r="AH256" s="43">
        <v>0</v>
      </c>
      <c r="AI256" s="43">
        <v>0</v>
      </c>
      <c r="AJ256" s="43">
        <v>0</v>
      </c>
    </row>
    <row r="257" spans="1:36">
      <c r="A257" t="s">
        <v>112</v>
      </c>
      <c r="B257" t="s">
        <v>314</v>
      </c>
      <c r="C257" s="3" t="s">
        <v>111</v>
      </c>
      <c r="D257" s="3" t="s">
        <v>37</v>
      </c>
      <c r="E257" s="44">
        <v>55000</v>
      </c>
      <c r="F257" s="44">
        <v>55000</v>
      </c>
      <c r="G257" s="44">
        <v>55000</v>
      </c>
      <c r="H257" s="44">
        <v>55000</v>
      </c>
      <c r="I257" s="45">
        <v>103.82</v>
      </c>
      <c r="J257" s="45">
        <v>103.82</v>
      </c>
      <c r="K257" s="45">
        <v>101.64</v>
      </c>
      <c r="L257" s="45">
        <v>101.64</v>
      </c>
      <c r="M257" s="43">
        <v>250</v>
      </c>
      <c r="N257" s="43">
        <v>250</v>
      </c>
      <c r="O257" s="43">
        <v>250</v>
      </c>
      <c r="P257" s="43">
        <v>250</v>
      </c>
      <c r="Q257" s="43">
        <v>115</v>
      </c>
      <c r="R257" s="43">
        <v>115</v>
      </c>
      <c r="S257" s="43">
        <v>115</v>
      </c>
      <c r="T257" s="43">
        <v>115</v>
      </c>
      <c r="U257" s="43">
        <v>115</v>
      </c>
      <c r="V257" s="43">
        <v>115</v>
      </c>
      <c r="W257" s="43">
        <v>115</v>
      </c>
      <c r="X257" s="43">
        <v>115</v>
      </c>
      <c r="Y257" s="43">
        <v>250</v>
      </c>
      <c r="Z257" s="43">
        <v>250</v>
      </c>
      <c r="AA257" s="43">
        <v>250</v>
      </c>
      <c r="AB257" s="43">
        <v>250</v>
      </c>
      <c r="AC257" s="43">
        <v>2</v>
      </c>
      <c r="AD257" s="43">
        <v>4</v>
      </c>
      <c r="AE257" s="43">
        <v>8</v>
      </c>
      <c r="AF257" s="43">
        <v>8</v>
      </c>
      <c r="AG257" s="43">
        <v>0</v>
      </c>
      <c r="AH257" s="43">
        <v>0</v>
      </c>
      <c r="AI257" s="43">
        <v>0</v>
      </c>
      <c r="AJ257" s="43">
        <v>0</v>
      </c>
    </row>
    <row r="258" spans="1:36">
      <c r="A258" t="s">
        <v>112</v>
      </c>
      <c r="B258" t="s">
        <v>314</v>
      </c>
      <c r="C258" s="3" t="s">
        <v>111</v>
      </c>
      <c r="D258" s="3" t="s">
        <v>37</v>
      </c>
      <c r="E258" s="44">
        <v>56000</v>
      </c>
      <c r="F258" s="44">
        <v>56000</v>
      </c>
      <c r="G258" s="44">
        <v>56000</v>
      </c>
      <c r="H258" s="44">
        <v>56000</v>
      </c>
      <c r="I258" s="45">
        <v>103.75</v>
      </c>
      <c r="J258" s="45">
        <v>103.75</v>
      </c>
      <c r="K258" s="45">
        <v>101.61</v>
      </c>
      <c r="L258" s="45">
        <v>101.61</v>
      </c>
      <c r="M258" s="43">
        <v>250</v>
      </c>
      <c r="N258" s="43">
        <v>250</v>
      </c>
      <c r="O258" s="43">
        <v>250</v>
      </c>
      <c r="P258" s="43">
        <v>250</v>
      </c>
      <c r="Q258" s="43">
        <v>115</v>
      </c>
      <c r="R258" s="43">
        <v>115</v>
      </c>
      <c r="S258" s="43">
        <v>115</v>
      </c>
      <c r="T258" s="43">
        <v>115</v>
      </c>
      <c r="U258" s="43">
        <v>115</v>
      </c>
      <c r="V258" s="43">
        <v>115</v>
      </c>
      <c r="W258" s="43">
        <v>115</v>
      </c>
      <c r="X258" s="43">
        <v>115</v>
      </c>
      <c r="Y258" s="43">
        <v>250</v>
      </c>
      <c r="Z258" s="43">
        <v>250</v>
      </c>
      <c r="AA258" s="43">
        <v>250</v>
      </c>
      <c r="AB258" s="43">
        <v>250</v>
      </c>
      <c r="AC258" s="43">
        <v>2</v>
      </c>
      <c r="AD258" s="43">
        <v>4</v>
      </c>
      <c r="AE258" s="43">
        <v>8</v>
      </c>
      <c r="AF258" s="43">
        <v>8</v>
      </c>
      <c r="AG258" s="43">
        <v>0</v>
      </c>
      <c r="AH258" s="43">
        <v>0</v>
      </c>
      <c r="AI258" s="43">
        <v>0</v>
      </c>
      <c r="AJ258" s="43">
        <v>0</v>
      </c>
    </row>
    <row r="259" spans="1:36">
      <c r="A259" t="s">
        <v>112</v>
      </c>
      <c r="B259" t="s">
        <v>314</v>
      </c>
      <c r="C259" s="3" t="s">
        <v>111</v>
      </c>
      <c r="D259" s="3" t="s">
        <v>37</v>
      </c>
      <c r="E259" s="44">
        <v>57000</v>
      </c>
      <c r="F259" s="44">
        <v>57000</v>
      </c>
      <c r="G259" s="44">
        <v>57000</v>
      </c>
      <c r="H259" s="44">
        <v>57000</v>
      </c>
      <c r="I259" s="45">
        <v>103.68</v>
      </c>
      <c r="J259" s="45">
        <v>103.68</v>
      </c>
      <c r="K259" s="45">
        <v>101.58</v>
      </c>
      <c r="L259" s="45">
        <v>101.58</v>
      </c>
      <c r="M259" s="43">
        <v>250</v>
      </c>
      <c r="N259" s="43">
        <v>250</v>
      </c>
      <c r="O259" s="43">
        <v>250</v>
      </c>
      <c r="P259" s="43">
        <v>250</v>
      </c>
      <c r="Q259" s="43">
        <v>115</v>
      </c>
      <c r="R259" s="43">
        <v>115</v>
      </c>
      <c r="S259" s="43">
        <v>115</v>
      </c>
      <c r="T259" s="43">
        <v>115</v>
      </c>
      <c r="U259" s="43">
        <v>115</v>
      </c>
      <c r="V259" s="43">
        <v>115</v>
      </c>
      <c r="W259" s="43">
        <v>115</v>
      </c>
      <c r="X259" s="43">
        <v>115</v>
      </c>
      <c r="Y259" s="43">
        <v>250</v>
      </c>
      <c r="Z259" s="43">
        <v>250</v>
      </c>
      <c r="AA259" s="43">
        <v>250</v>
      </c>
      <c r="AB259" s="43">
        <v>250</v>
      </c>
      <c r="AC259" s="43">
        <v>2</v>
      </c>
      <c r="AD259" s="43">
        <v>4</v>
      </c>
      <c r="AE259" s="43">
        <v>8</v>
      </c>
      <c r="AF259" s="43">
        <v>8</v>
      </c>
      <c r="AG259" s="43">
        <v>0</v>
      </c>
      <c r="AH259" s="43">
        <v>0</v>
      </c>
      <c r="AI259" s="43">
        <v>0</v>
      </c>
      <c r="AJ259" s="43">
        <v>0</v>
      </c>
    </row>
    <row r="260" spans="1:36">
      <c r="A260" t="s">
        <v>112</v>
      </c>
      <c r="B260" t="s">
        <v>314</v>
      </c>
      <c r="C260" s="3" t="s">
        <v>111</v>
      </c>
      <c r="D260" s="3" t="s">
        <v>37</v>
      </c>
      <c r="E260" s="44">
        <v>58000</v>
      </c>
      <c r="F260" s="44">
        <v>58000</v>
      </c>
      <c r="G260" s="44">
        <v>58000</v>
      </c>
      <c r="H260" s="44">
        <v>58000</v>
      </c>
      <c r="I260" s="45">
        <v>103.62</v>
      </c>
      <c r="J260" s="45">
        <v>103.62</v>
      </c>
      <c r="K260" s="45">
        <v>101.55</v>
      </c>
      <c r="L260" s="45">
        <v>101.55</v>
      </c>
      <c r="M260" s="43">
        <v>250</v>
      </c>
      <c r="N260" s="43">
        <v>250</v>
      </c>
      <c r="O260" s="43">
        <v>250</v>
      </c>
      <c r="P260" s="43">
        <v>250</v>
      </c>
      <c r="Q260" s="43">
        <v>115</v>
      </c>
      <c r="R260" s="43">
        <v>115</v>
      </c>
      <c r="S260" s="43">
        <v>115</v>
      </c>
      <c r="T260" s="43">
        <v>115</v>
      </c>
      <c r="U260" s="43">
        <v>115</v>
      </c>
      <c r="V260" s="43">
        <v>115</v>
      </c>
      <c r="W260" s="43">
        <v>115</v>
      </c>
      <c r="X260" s="43">
        <v>115</v>
      </c>
      <c r="Y260" s="43">
        <v>250</v>
      </c>
      <c r="Z260" s="43">
        <v>250</v>
      </c>
      <c r="AA260" s="43">
        <v>250</v>
      </c>
      <c r="AB260" s="43">
        <v>250</v>
      </c>
      <c r="AC260" s="43">
        <v>2</v>
      </c>
      <c r="AD260" s="43">
        <v>4</v>
      </c>
      <c r="AE260" s="43">
        <v>8</v>
      </c>
      <c r="AF260" s="43">
        <v>8</v>
      </c>
      <c r="AG260" s="43">
        <v>0</v>
      </c>
      <c r="AH260" s="43">
        <v>0</v>
      </c>
      <c r="AI260" s="43">
        <v>0</v>
      </c>
      <c r="AJ260" s="43">
        <v>0</v>
      </c>
    </row>
    <row r="261" spans="1:36">
      <c r="A261" t="s">
        <v>112</v>
      </c>
      <c r="B261" t="s">
        <v>314</v>
      </c>
      <c r="C261" s="3" t="s">
        <v>111</v>
      </c>
      <c r="D261" s="3" t="s">
        <v>37</v>
      </c>
      <c r="E261" s="44">
        <v>59000</v>
      </c>
      <c r="F261" s="44">
        <v>59000</v>
      </c>
      <c r="G261" s="44">
        <v>59000</v>
      </c>
      <c r="H261" s="44">
        <v>59000</v>
      </c>
      <c r="I261" s="45">
        <v>103.56</v>
      </c>
      <c r="J261" s="45">
        <v>103.56</v>
      </c>
      <c r="K261" s="45">
        <v>101.53</v>
      </c>
      <c r="L261" s="45">
        <v>101.53</v>
      </c>
      <c r="M261" s="43">
        <v>250</v>
      </c>
      <c r="N261" s="43">
        <v>250</v>
      </c>
      <c r="O261" s="43">
        <v>250</v>
      </c>
      <c r="P261" s="43">
        <v>250</v>
      </c>
      <c r="Q261" s="43">
        <v>115</v>
      </c>
      <c r="R261" s="43">
        <v>115</v>
      </c>
      <c r="S261" s="43">
        <v>115</v>
      </c>
      <c r="T261" s="43">
        <v>115</v>
      </c>
      <c r="U261" s="43">
        <v>115</v>
      </c>
      <c r="V261" s="43">
        <v>115</v>
      </c>
      <c r="W261" s="43">
        <v>115</v>
      </c>
      <c r="X261" s="43">
        <v>115</v>
      </c>
      <c r="Y261" s="43">
        <v>250</v>
      </c>
      <c r="Z261" s="43">
        <v>250</v>
      </c>
      <c r="AA261" s="43">
        <v>250</v>
      </c>
      <c r="AB261" s="43">
        <v>250</v>
      </c>
      <c r="AC261" s="43">
        <v>2</v>
      </c>
      <c r="AD261" s="43">
        <v>4</v>
      </c>
      <c r="AE261" s="43">
        <v>8</v>
      </c>
      <c r="AF261" s="43">
        <v>8</v>
      </c>
      <c r="AG261" s="43">
        <v>0</v>
      </c>
      <c r="AH261" s="43">
        <v>0</v>
      </c>
      <c r="AI261" s="43">
        <v>0</v>
      </c>
      <c r="AJ261" s="43">
        <v>0</v>
      </c>
    </row>
    <row r="262" spans="1:36">
      <c r="A262" t="s">
        <v>112</v>
      </c>
      <c r="B262" t="s">
        <v>314</v>
      </c>
      <c r="C262" s="3" t="s">
        <v>111</v>
      </c>
      <c r="D262" s="3" t="s">
        <v>37</v>
      </c>
      <c r="E262" s="44">
        <v>60000</v>
      </c>
      <c r="F262" s="44">
        <v>60000</v>
      </c>
      <c r="G262" s="44">
        <v>60000</v>
      </c>
      <c r="H262" s="44">
        <v>60000</v>
      </c>
      <c r="I262" s="45">
        <v>103.5</v>
      </c>
      <c r="J262" s="45">
        <v>103.5</v>
      </c>
      <c r="K262" s="45">
        <v>101.5</v>
      </c>
      <c r="L262" s="45">
        <v>101.5</v>
      </c>
      <c r="M262" s="43">
        <v>250</v>
      </c>
      <c r="N262" s="43">
        <v>250</v>
      </c>
      <c r="O262" s="43">
        <v>250</v>
      </c>
      <c r="P262" s="43">
        <v>250</v>
      </c>
      <c r="Q262" s="43">
        <v>115</v>
      </c>
      <c r="R262" s="43">
        <v>115</v>
      </c>
      <c r="S262" s="43">
        <v>115</v>
      </c>
      <c r="T262" s="43">
        <v>115</v>
      </c>
      <c r="U262" s="43">
        <v>115</v>
      </c>
      <c r="V262" s="43">
        <v>115</v>
      </c>
      <c r="W262" s="43">
        <v>115</v>
      </c>
      <c r="X262" s="43">
        <v>115</v>
      </c>
      <c r="Y262" s="43">
        <v>250</v>
      </c>
      <c r="Z262" s="43">
        <v>250</v>
      </c>
      <c r="AA262" s="43">
        <v>250</v>
      </c>
      <c r="AB262" s="43">
        <v>250</v>
      </c>
      <c r="AC262" s="43">
        <v>2</v>
      </c>
      <c r="AD262" s="43">
        <v>4</v>
      </c>
      <c r="AE262" s="43">
        <v>8</v>
      </c>
      <c r="AF262" s="43">
        <v>8</v>
      </c>
      <c r="AG262" s="43">
        <v>0</v>
      </c>
      <c r="AH262" s="43">
        <v>0</v>
      </c>
      <c r="AI262" s="43">
        <v>0</v>
      </c>
      <c r="AJ262" s="43">
        <v>0</v>
      </c>
    </row>
    <row r="263" spans="1:36">
      <c r="A263" t="s">
        <v>112</v>
      </c>
      <c r="B263" t="s">
        <v>314</v>
      </c>
      <c r="C263" s="3" t="s">
        <v>111</v>
      </c>
      <c r="D263" s="3" t="s">
        <v>37</v>
      </c>
      <c r="E263" s="44">
        <v>61000</v>
      </c>
      <c r="F263" s="44">
        <v>61000</v>
      </c>
      <c r="G263" s="44">
        <v>61000</v>
      </c>
      <c r="H263" s="44">
        <v>61000</v>
      </c>
      <c r="I263" s="45">
        <v>103.44</v>
      </c>
      <c r="J263" s="45">
        <v>103.44</v>
      </c>
      <c r="K263" s="45">
        <v>101.48</v>
      </c>
      <c r="L263" s="45">
        <v>101.48</v>
      </c>
      <c r="M263" s="43">
        <v>250</v>
      </c>
      <c r="N263" s="43">
        <v>250</v>
      </c>
      <c r="O263" s="43">
        <v>250</v>
      </c>
      <c r="P263" s="43">
        <v>250</v>
      </c>
      <c r="Q263" s="43">
        <v>115</v>
      </c>
      <c r="R263" s="43">
        <v>115</v>
      </c>
      <c r="S263" s="43">
        <v>115</v>
      </c>
      <c r="T263" s="43">
        <v>115</v>
      </c>
      <c r="U263" s="43">
        <v>115</v>
      </c>
      <c r="V263" s="43">
        <v>115</v>
      </c>
      <c r="W263" s="43">
        <v>115</v>
      </c>
      <c r="X263" s="43">
        <v>115</v>
      </c>
      <c r="Y263" s="43">
        <v>250</v>
      </c>
      <c r="Z263" s="43">
        <v>250</v>
      </c>
      <c r="AA263" s="43">
        <v>250</v>
      </c>
      <c r="AB263" s="43">
        <v>250</v>
      </c>
      <c r="AC263" s="43">
        <v>2</v>
      </c>
      <c r="AD263" s="43">
        <v>4</v>
      </c>
      <c r="AE263" s="43">
        <v>8</v>
      </c>
      <c r="AF263" s="43">
        <v>8</v>
      </c>
      <c r="AG263" s="43">
        <v>0</v>
      </c>
      <c r="AH263" s="43">
        <v>0</v>
      </c>
      <c r="AI263" s="43">
        <v>0</v>
      </c>
      <c r="AJ263" s="43">
        <v>0</v>
      </c>
    </row>
    <row r="264" spans="1:36">
      <c r="A264" t="s">
        <v>112</v>
      </c>
      <c r="B264" t="s">
        <v>314</v>
      </c>
      <c r="C264" s="3" t="s">
        <v>111</v>
      </c>
      <c r="D264" s="3" t="s">
        <v>37</v>
      </c>
      <c r="E264" s="44">
        <v>62000</v>
      </c>
      <c r="F264" s="44">
        <v>62000</v>
      </c>
      <c r="G264" s="44">
        <v>62000</v>
      </c>
      <c r="H264" s="44">
        <v>62000</v>
      </c>
      <c r="I264" s="45">
        <v>103.39</v>
      </c>
      <c r="J264" s="45">
        <v>103.39</v>
      </c>
      <c r="K264" s="45">
        <v>101.45</v>
      </c>
      <c r="L264" s="45">
        <v>101.45</v>
      </c>
      <c r="M264" s="43">
        <v>250</v>
      </c>
      <c r="N264" s="43">
        <v>250</v>
      </c>
      <c r="O264" s="43">
        <v>250</v>
      </c>
      <c r="P264" s="43">
        <v>250</v>
      </c>
      <c r="Q264" s="43">
        <v>115</v>
      </c>
      <c r="R264" s="43">
        <v>115</v>
      </c>
      <c r="S264" s="43">
        <v>115</v>
      </c>
      <c r="T264" s="43">
        <v>115</v>
      </c>
      <c r="U264" s="43">
        <v>115</v>
      </c>
      <c r="V264" s="43">
        <v>115</v>
      </c>
      <c r="W264" s="43">
        <v>115</v>
      </c>
      <c r="X264" s="43">
        <v>115</v>
      </c>
      <c r="Y264" s="43">
        <v>250</v>
      </c>
      <c r="Z264" s="43">
        <v>250</v>
      </c>
      <c r="AA264" s="43">
        <v>250</v>
      </c>
      <c r="AB264" s="43">
        <v>250</v>
      </c>
      <c r="AC264" s="43">
        <v>2</v>
      </c>
      <c r="AD264" s="43">
        <v>4</v>
      </c>
      <c r="AE264" s="43">
        <v>8</v>
      </c>
      <c r="AF264" s="43">
        <v>8</v>
      </c>
      <c r="AG264" s="43">
        <v>0</v>
      </c>
      <c r="AH264" s="43">
        <v>0</v>
      </c>
      <c r="AI264" s="43">
        <v>0</v>
      </c>
      <c r="AJ264" s="43">
        <v>0</v>
      </c>
    </row>
    <row r="265" spans="1:36">
      <c r="A265" t="s">
        <v>112</v>
      </c>
      <c r="B265" t="s">
        <v>314</v>
      </c>
      <c r="C265" s="3" t="s">
        <v>111</v>
      </c>
      <c r="D265" s="3" t="s">
        <v>37</v>
      </c>
      <c r="E265" s="44">
        <v>63000</v>
      </c>
      <c r="F265" s="44">
        <v>63000</v>
      </c>
      <c r="G265" s="44">
        <v>63000</v>
      </c>
      <c r="H265" s="44">
        <v>63000</v>
      </c>
      <c r="I265" s="45">
        <v>103.33</v>
      </c>
      <c r="J265" s="45">
        <v>103.33</v>
      </c>
      <c r="K265" s="45">
        <v>101.43</v>
      </c>
      <c r="L265" s="45">
        <v>101.43</v>
      </c>
      <c r="M265" s="43">
        <v>250</v>
      </c>
      <c r="N265" s="43">
        <v>250</v>
      </c>
      <c r="O265" s="43">
        <v>250</v>
      </c>
      <c r="P265" s="43">
        <v>250</v>
      </c>
      <c r="Q265" s="43">
        <v>115</v>
      </c>
      <c r="R265" s="43">
        <v>115</v>
      </c>
      <c r="S265" s="43">
        <v>115</v>
      </c>
      <c r="T265" s="43">
        <v>115</v>
      </c>
      <c r="U265" s="43">
        <v>115</v>
      </c>
      <c r="V265" s="43">
        <v>115</v>
      </c>
      <c r="W265" s="43">
        <v>115</v>
      </c>
      <c r="X265" s="43">
        <v>115</v>
      </c>
      <c r="Y265" s="43">
        <v>250</v>
      </c>
      <c r="Z265" s="43">
        <v>250</v>
      </c>
      <c r="AA265" s="43">
        <v>250</v>
      </c>
      <c r="AB265" s="43">
        <v>250</v>
      </c>
      <c r="AC265" s="43">
        <v>2</v>
      </c>
      <c r="AD265" s="43">
        <v>4</v>
      </c>
      <c r="AE265" s="43">
        <v>8</v>
      </c>
      <c r="AF265" s="43">
        <v>8</v>
      </c>
      <c r="AG265" s="43">
        <v>0</v>
      </c>
      <c r="AH265" s="43">
        <v>0</v>
      </c>
      <c r="AI265" s="43">
        <v>0</v>
      </c>
      <c r="AJ265" s="43">
        <v>0</v>
      </c>
    </row>
    <row r="266" spans="1:36">
      <c r="A266" t="s">
        <v>112</v>
      </c>
      <c r="B266" t="s">
        <v>314</v>
      </c>
      <c r="C266" s="3" t="s">
        <v>111</v>
      </c>
      <c r="D266" s="3" t="s">
        <v>37</v>
      </c>
      <c r="E266" s="44">
        <v>64000</v>
      </c>
      <c r="F266" s="44">
        <v>64000</v>
      </c>
      <c r="G266" s="44">
        <v>64000</v>
      </c>
      <c r="H266" s="44">
        <v>64000</v>
      </c>
      <c r="I266" s="45">
        <v>103.28</v>
      </c>
      <c r="J266" s="45">
        <v>103.28</v>
      </c>
      <c r="K266" s="45">
        <v>101.41</v>
      </c>
      <c r="L266" s="45">
        <v>101.41</v>
      </c>
      <c r="M266" s="43">
        <v>250</v>
      </c>
      <c r="N266" s="43">
        <v>250</v>
      </c>
      <c r="O266" s="43">
        <v>250</v>
      </c>
      <c r="P266" s="43">
        <v>250</v>
      </c>
      <c r="Q266" s="43">
        <v>115</v>
      </c>
      <c r="R266" s="43">
        <v>115</v>
      </c>
      <c r="S266" s="43">
        <v>115</v>
      </c>
      <c r="T266" s="43">
        <v>115</v>
      </c>
      <c r="U266" s="43">
        <v>115</v>
      </c>
      <c r="V266" s="43">
        <v>115</v>
      </c>
      <c r="W266" s="43">
        <v>115</v>
      </c>
      <c r="X266" s="43">
        <v>115</v>
      </c>
      <c r="Y266" s="43">
        <v>250</v>
      </c>
      <c r="Z266" s="43">
        <v>250</v>
      </c>
      <c r="AA266" s="43">
        <v>250</v>
      </c>
      <c r="AB266" s="43">
        <v>250</v>
      </c>
      <c r="AC266" s="43">
        <v>2</v>
      </c>
      <c r="AD266" s="43">
        <v>4</v>
      </c>
      <c r="AE266" s="43">
        <v>8</v>
      </c>
      <c r="AF266" s="43">
        <v>8</v>
      </c>
      <c r="AG266" s="43">
        <v>0</v>
      </c>
      <c r="AH266" s="43">
        <v>0</v>
      </c>
      <c r="AI266" s="43">
        <v>0</v>
      </c>
      <c r="AJ266" s="43">
        <v>0</v>
      </c>
    </row>
    <row r="267" spans="1:36">
      <c r="A267" t="s">
        <v>112</v>
      </c>
      <c r="B267" t="s">
        <v>314</v>
      </c>
      <c r="C267" s="3" t="s">
        <v>111</v>
      </c>
      <c r="D267" s="3" t="s">
        <v>37</v>
      </c>
      <c r="E267" s="44">
        <v>65000</v>
      </c>
      <c r="F267" s="44">
        <v>65000</v>
      </c>
      <c r="G267" s="44">
        <v>65000</v>
      </c>
      <c r="H267" s="44">
        <v>65000</v>
      </c>
      <c r="I267" s="45">
        <v>103.23</v>
      </c>
      <c r="J267" s="45">
        <v>103.23</v>
      </c>
      <c r="K267" s="45">
        <v>101.38</v>
      </c>
      <c r="L267" s="45">
        <v>101.38</v>
      </c>
      <c r="M267" s="43">
        <v>250</v>
      </c>
      <c r="N267" s="43">
        <v>250</v>
      </c>
      <c r="O267" s="43">
        <v>250</v>
      </c>
      <c r="P267" s="43">
        <v>250</v>
      </c>
      <c r="Q267" s="43">
        <v>115</v>
      </c>
      <c r="R267" s="43">
        <v>115</v>
      </c>
      <c r="S267" s="43">
        <v>115</v>
      </c>
      <c r="T267" s="43">
        <v>115</v>
      </c>
      <c r="U267" s="43">
        <v>115</v>
      </c>
      <c r="V267" s="43">
        <v>115</v>
      </c>
      <c r="W267" s="43">
        <v>115</v>
      </c>
      <c r="X267" s="43">
        <v>115</v>
      </c>
      <c r="Y267" s="43">
        <v>250</v>
      </c>
      <c r="Z267" s="43">
        <v>250</v>
      </c>
      <c r="AA267" s="43">
        <v>250</v>
      </c>
      <c r="AB267" s="43">
        <v>250</v>
      </c>
      <c r="AC267" s="43">
        <v>2</v>
      </c>
      <c r="AD267" s="43">
        <v>4</v>
      </c>
      <c r="AE267" s="43">
        <v>8</v>
      </c>
      <c r="AF267" s="43">
        <v>8</v>
      </c>
      <c r="AG267" s="43">
        <v>0</v>
      </c>
      <c r="AH267" s="43">
        <v>0</v>
      </c>
      <c r="AI267" s="43">
        <v>0</v>
      </c>
      <c r="AJ267" s="43">
        <v>0</v>
      </c>
    </row>
    <row r="268" spans="1:36">
      <c r="A268" t="s">
        <v>112</v>
      </c>
      <c r="B268" t="s">
        <v>314</v>
      </c>
      <c r="C268" s="3" t="s">
        <v>111</v>
      </c>
      <c r="D268" s="3" t="s">
        <v>37</v>
      </c>
      <c r="E268" s="44">
        <v>66000</v>
      </c>
      <c r="F268" s="44">
        <v>66000</v>
      </c>
      <c r="G268" s="44">
        <v>66000</v>
      </c>
      <c r="H268" s="44">
        <v>66000</v>
      </c>
      <c r="I268" s="45">
        <v>103.18</v>
      </c>
      <c r="J268" s="45">
        <v>103.18</v>
      </c>
      <c r="K268" s="45">
        <v>101.36</v>
      </c>
      <c r="L268" s="45">
        <v>101.36</v>
      </c>
      <c r="M268" s="43">
        <v>250</v>
      </c>
      <c r="N268" s="43">
        <v>250</v>
      </c>
      <c r="O268" s="43">
        <v>250</v>
      </c>
      <c r="P268" s="43">
        <v>250</v>
      </c>
      <c r="Q268" s="43">
        <v>115</v>
      </c>
      <c r="R268" s="43">
        <v>115</v>
      </c>
      <c r="S268" s="43">
        <v>115</v>
      </c>
      <c r="T268" s="43">
        <v>115</v>
      </c>
      <c r="U268" s="43">
        <v>115</v>
      </c>
      <c r="V268" s="43">
        <v>115</v>
      </c>
      <c r="W268" s="43">
        <v>115</v>
      </c>
      <c r="X268" s="43">
        <v>115</v>
      </c>
      <c r="Y268" s="43">
        <v>250</v>
      </c>
      <c r="Z268" s="43">
        <v>250</v>
      </c>
      <c r="AA268" s="43">
        <v>250</v>
      </c>
      <c r="AB268" s="43">
        <v>250</v>
      </c>
      <c r="AC268" s="43">
        <v>2</v>
      </c>
      <c r="AD268" s="43">
        <v>4</v>
      </c>
      <c r="AE268" s="43">
        <v>8</v>
      </c>
      <c r="AF268" s="43">
        <v>8</v>
      </c>
      <c r="AG268" s="43">
        <v>0</v>
      </c>
      <c r="AH268" s="43">
        <v>0</v>
      </c>
      <c r="AI268" s="43">
        <v>0</v>
      </c>
      <c r="AJ268" s="43">
        <v>0</v>
      </c>
    </row>
    <row r="269" spans="1:36">
      <c r="A269" t="s">
        <v>112</v>
      </c>
      <c r="B269" t="s">
        <v>314</v>
      </c>
      <c r="C269" s="3" t="s">
        <v>111</v>
      </c>
      <c r="D269" s="3" t="s">
        <v>37</v>
      </c>
      <c r="E269" s="44">
        <v>67000</v>
      </c>
      <c r="F269" s="44">
        <v>67000</v>
      </c>
      <c r="G269" s="44">
        <v>67000</v>
      </c>
      <c r="H269" s="44">
        <v>67000</v>
      </c>
      <c r="I269" s="45">
        <v>103.13</v>
      </c>
      <c r="J269" s="45">
        <v>103.13</v>
      </c>
      <c r="K269" s="45">
        <v>101.34</v>
      </c>
      <c r="L269" s="45">
        <v>101.34</v>
      </c>
      <c r="M269" s="43">
        <v>250</v>
      </c>
      <c r="N269" s="43">
        <v>250</v>
      </c>
      <c r="O269" s="43">
        <v>250</v>
      </c>
      <c r="P269" s="43">
        <v>250</v>
      </c>
      <c r="Q269" s="43">
        <v>115</v>
      </c>
      <c r="R269" s="43">
        <v>115</v>
      </c>
      <c r="S269" s="43">
        <v>115</v>
      </c>
      <c r="T269" s="43">
        <v>115</v>
      </c>
      <c r="U269" s="43">
        <v>115</v>
      </c>
      <c r="V269" s="43">
        <v>115</v>
      </c>
      <c r="W269" s="43">
        <v>115</v>
      </c>
      <c r="X269" s="43">
        <v>115</v>
      </c>
      <c r="Y269" s="43">
        <v>250</v>
      </c>
      <c r="Z269" s="43">
        <v>250</v>
      </c>
      <c r="AA269" s="43">
        <v>250</v>
      </c>
      <c r="AB269" s="43">
        <v>250</v>
      </c>
      <c r="AC269" s="43">
        <v>2</v>
      </c>
      <c r="AD269" s="43">
        <v>4</v>
      </c>
      <c r="AE269" s="43">
        <v>8</v>
      </c>
      <c r="AF269" s="43">
        <v>8</v>
      </c>
      <c r="AG269" s="43">
        <v>0</v>
      </c>
      <c r="AH269" s="43">
        <v>0</v>
      </c>
      <c r="AI269" s="43">
        <v>0</v>
      </c>
      <c r="AJ269" s="43">
        <v>0</v>
      </c>
    </row>
    <row r="270" spans="1:36">
      <c r="A270" t="s">
        <v>112</v>
      </c>
      <c r="B270" t="s">
        <v>314</v>
      </c>
      <c r="C270" s="3" t="s">
        <v>111</v>
      </c>
      <c r="D270" s="3" t="s">
        <v>37</v>
      </c>
      <c r="E270" s="44">
        <v>68000</v>
      </c>
      <c r="F270" s="44">
        <v>68000</v>
      </c>
      <c r="G270" s="44">
        <v>68000</v>
      </c>
      <c r="H270" s="44">
        <v>68000</v>
      </c>
      <c r="I270" s="45">
        <v>103.09</v>
      </c>
      <c r="J270" s="45">
        <v>103.09</v>
      </c>
      <c r="K270" s="45">
        <v>101.32</v>
      </c>
      <c r="L270" s="45">
        <v>101.32</v>
      </c>
      <c r="M270" s="43">
        <v>250</v>
      </c>
      <c r="N270" s="43">
        <v>250</v>
      </c>
      <c r="O270" s="43">
        <v>250</v>
      </c>
      <c r="P270" s="43">
        <v>250</v>
      </c>
      <c r="Q270" s="43">
        <v>115</v>
      </c>
      <c r="R270" s="43">
        <v>115</v>
      </c>
      <c r="S270" s="43">
        <v>115</v>
      </c>
      <c r="T270" s="43">
        <v>115</v>
      </c>
      <c r="U270" s="43">
        <v>115</v>
      </c>
      <c r="V270" s="43">
        <v>115</v>
      </c>
      <c r="W270" s="43">
        <v>115</v>
      </c>
      <c r="X270" s="43">
        <v>115</v>
      </c>
      <c r="Y270" s="43">
        <v>250</v>
      </c>
      <c r="Z270" s="43">
        <v>250</v>
      </c>
      <c r="AA270" s="43">
        <v>250</v>
      </c>
      <c r="AB270" s="43">
        <v>250</v>
      </c>
      <c r="AC270" s="43">
        <v>2</v>
      </c>
      <c r="AD270" s="43">
        <v>4</v>
      </c>
      <c r="AE270" s="43">
        <v>8</v>
      </c>
      <c r="AF270" s="43">
        <v>8</v>
      </c>
      <c r="AG270" s="43">
        <v>0</v>
      </c>
      <c r="AH270" s="43">
        <v>0</v>
      </c>
      <c r="AI270" s="43">
        <v>0</v>
      </c>
      <c r="AJ270" s="43">
        <v>0</v>
      </c>
    </row>
    <row r="271" spans="1:36">
      <c r="A271" t="s">
        <v>112</v>
      </c>
      <c r="B271" t="s">
        <v>314</v>
      </c>
      <c r="C271" s="3" t="s">
        <v>111</v>
      </c>
      <c r="D271" s="3" t="s">
        <v>37</v>
      </c>
      <c r="E271" s="44">
        <v>69000</v>
      </c>
      <c r="F271" s="44">
        <v>69000</v>
      </c>
      <c r="G271" s="44">
        <v>69000</v>
      </c>
      <c r="H271" s="44">
        <v>69000</v>
      </c>
      <c r="I271" s="45">
        <v>103.04</v>
      </c>
      <c r="J271" s="45">
        <v>103.04</v>
      </c>
      <c r="K271" s="45">
        <v>101.3</v>
      </c>
      <c r="L271" s="45">
        <v>101.3</v>
      </c>
      <c r="M271" s="43">
        <v>250</v>
      </c>
      <c r="N271" s="43">
        <v>250</v>
      </c>
      <c r="O271" s="43">
        <v>250</v>
      </c>
      <c r="P271" s="43">
        <v>250</v>
      </c>
      <c r="Q271" s="43">
        <v>115</v>
      </c>
      <c r="R271" s="43">
        <v>115</v>
      </c>
      <c r="S271" s="43">
        <v>115</v>
      </c>
      <c r="T271" s="43">
        <v>115</v>
      </c>
      <c r="U271" s="43">
        <v>115</v>
      </c>
      <c r="V271" s="43">
        <v>115</v>
      </c>
      <c r="W271" s="43">
        <v>115</v>
      </c>
      <c r="X271" s="43">
        <v>115</v>
      </c>
      <c r="Y271" s="43">
        <v>250</v>
      </c>
      <c r="Z271" s="43">
        <v>250</v>
      </c>
      <c r="AA271" s="43">
        <v>250</v>
      </c>
      <c r="AB271" s="43">
        <v>250</v>
      </c>
      <c r="AC271" s="43">
        <v>2</v>
      </c>
      <c r="AD271" s="43">
        <v>4</v>
      </c>
      <c r="AE271" s="43">
        <v>8</v>
      </c>
      <c r="AF271" s="43">
        <v>8</v>
      </c>
      <c r="AG271" s="43">
        <v>0</v>
      </c>
      <c r="AH271" s="43">
        <v>0</v>
      </c>
      <c r="AI271" s="43">
        <v>0</v>
      </c>
      <c r="AJ271" s="43">
        <v>0</v>
      </c>
    </row>
    <row r="272" spans="1:36">
      <c r="A272" t="s">
        <v>112</v>
      </c>
      <c r="B272" t="s">
        <v>314</v>
      </c>
      <c r="C272" s="3" t="s">
        <v>111</v>
      </c>
      <c r="D272" s="3" t="s">
        <v>37</v>
      </c>
      <c r="E272" s="44">
        <v>70000</v>
      </c>
      <c r="F272" s="44">
        <v>70000</v>
      </c>
      <c r="G272" s="44">
        <v>70000</v>
      </c>
      <c r="H272" s="44">
        <v>70000</v>
      </c>
      <c r="I272" s="45">
        <v>103</v>
      </c>
      <c r="J272" s="45">
        <v>103</v>
      </c>
      <c r="K272" s="45">
        <v>101.29</v>
      </c>
      <c r="L272" s="45">
        <v>101.29</v>
      </c>
      <c r="M272" s="43">
        <v>250</v>
      </c>
      <c r="N272" s="43">
        <v>250</v>
      </c>
      <c r="O272" s="43">
        <v>250</v>
      </c>
      <c r="P272" s="43">
        <v>250</v>
      </c>
      <c r="Q272" s="43">
        <v>115</v>
      </c>
      <c r="R272" s="43">
        <v>115</v>
      </c>
      <c r="S272" s="43">
        <v>115</v>
      </c>
      <c r="T272" s="43">
        <v>115</v>
      </c>
      <c r="U272" s="43">
        <v>115</v>
      </c>
      <c r="V272" s="43">
        <v>115</v>
      </c>
      <c r="W272" s="43">
        <v>115</v>
      </c>
      <c r="X272" s="43">
        <v>115</v>
      </c>
      <c r="Y272" s="43">
        <v>250</v>
      </c>
      <c r="Z272" s="43">
        <v>250</v>
      </c>
      <c r="AA272" s="43">
        <v>250</v>
      </c>
      <c r="AB272" s="43">
        <v>250</v>
      </c>
      <c r="AC272" s="43">
        <v>2</v>
      </c>
      <c r="AD272" s="43">
        <v>4</v>
      </c>
      <c r="AE272" s="43">
        <v>8</v>
      </c>
      <c r="AF272" s="43">
        <v>8</v>
      </c>
      <c r="AG272" s="43">
        <v>0</v>
      </c>
      <c r="AH272" s="43">
        <v>0</v>
      </c>
      <c r="AI272" s="43">
        <v>0</v>
      </c>
      <c r="AJ272" s="43">
        <v>0</v>
      </c>
    </row>
    <row r="273" spans="1:36">
      <c r="A273" t="s">
        <v>112</v>
      </c>
      <c r="B273" t="s">
        <v>314</v>
      </c>
      <c r="C273" s="3" t="s">
        <v>111</v>
      </c>
      <c r="D273" s="3" t="s">
        <v>37</v>
      </c>
      <c r="E273" s="44">
        <v>71000</v>
      </c>
      <c r="F273" s="44">
        <v>71000</v>
      </c>
      <c r="G273" s="44">
        <v>71000</v>
      </c>
      <c r="H273" s="44">
        <v>71000</v>
      </c>
      <c r="I273" s="45">
        <v>102.96</v>
      </c>
      <c r="J273" s="45">
        <v>102.96</v>
      </c>
      <c r="K273" s="45">
        <v>101.27</v>
      </c>
      <c r="L273" s="45">
        <v>101.27</v>
      </c>
      <c r="M273" s="43">
        <v>250</v>
      </c>
      <c r="N273" s="43">
        <v>250</v>
      </c>
      <c r="O273" s="43">
        <v>250</v>
      </c>
      <c r="P273" s="43">
        <v>250</v>
      </c>
      <c r="Q273" s="43">
        <v>115</v>
      </c>
      <c r="R273" s="43">
        <v>115</v>
      </c>
      <c r="S273" s="43">
        <v>115</v>
      </c>
      <c r="T273" s="43">
        <v>115</v>
      </c>
      <c r="U273" s="43">
        <v>115</v>
      </c>
      <c r="V273" s="43">
        <v>115</v>
      </c>
      <c r="W273" s="43">
        <v>115</v>
      </c>
      <c r="X273" s="43">
        <v>115</v>
      </c>
      <c r="Y273" s="43">
        <v>250</v>
      </c>
      <c r="Z273" s="43">
        <v>250</v>
      </c>
      <c r="AA273" s="43">
        <v>250</v>
      </c>
      <c r="AB273" s="43">
        <v>250</v>
      </c>
      <c r="AC273" s="43">
        <v>2</v>
      </c>
      <c r="AD273" s="43">
        <v>4</v>
      </c>
      <c r="AE273" s="43">
        <v>8</v>
      </c>
      <c r="AF273" s="43">
        <v>8</v>
      </c>
      <c r="AG273" s="43">
        <v>0</v>
      </c>
      <c r="AH273" s="43">
        <v>0</v>
      </c>
      <c r="AI273" s="43">
        <v>0</v>
      </c>
      <c r="AJ273" s="43">
        <v>0</v>
      </c>
    </row>
    <row r="274" spans="1:36">
      <c r="A274" t="s">
        <v>112</v>
      </c>
      <c r="B274" t="s">
        <v>314</v>
      </c>
      <c r="C274" s="3" t="s">
        <v>111</v>
      </c>
      <c r="D274" s="3" t="s">
        <v>37</v>
      </c>
      <c r="E274" s="44">
        <v>72000</v>
      </c>
      <c r="F274" s="44">
        <v>72000</v>
      </c>
      <c r="G274" s="44">
        <v>72000</v>
      </c>
      <c r="H274" s="44">
        <v>72000</v>
      </c>
      <c r="I274" s="45">
        <v>102.92</v>
      </c>
      <c r="J274" s="45">
        <v>102.92</v>
      </c>
      <c r="K274" s="45">
        <v>101.25</v>
      </c>
      <c r="L274" s="45">
        <v>101.25</v>
      </c>
      <c r="M274" s="43">
        <v>250</v>
      </c>
      <c r="N274" s="43">
        <v>250</v>
      </c>
      <c r="O274" s="43">
        <v>250</v>
      </c>
      <c r="P274" s="43">
        <v>250</v>
      </c>
      <c r="Q274" s="43">
        <v>115</v>
      </c>
      <c r="R274" s="43">
        <v>115</v>
      </c>
      <c r="S274" s="43">
        <v>115</v>
      </c>
      <c r="T274" s="43">
        <v>115</v>
      </c>
      <c r="U274" s="43">
        <v>115</v>
      </c>
      <c r="V274" s="43">
        <v>115</v>
      </c>
      <c r="W274" s="43">
        <v>115</v>
      </c>
      <c r="X274" s="43">
        <v>115</v>
      </c>
      <c r="Y274" s="43">
        <v>250</v>
      </c>
      <c r="Z274" s="43">
        <v>250</v>
      </c>
      <c r="AA274" s="43">
        <v>250</v>
      </c>
      <c r="AB274" s="43">
        <v>250</v>
      </c>
      <c r="AC274" s="43">
        <v>2</v>
      </c>
      <c r="AD274" s="43">
        <v>4</v>
      </c>
      <c r="AE274" s="43">
        <v>8</v>
      </c>
      <c r="AF274" s="43">
        <v>8</v>
      </c>
      <c r="AG274" s="43">
        <v>0</v>
      </c>
      <c r="AH274" s="43">
        <v>0</v>
      </c>
      <c r="AI274" s="43">
        <v>0</v>
      </c>
      <c r="AJ274" s="43">
        <v>0</v>
      </c>
    </row>
    <row r="275" spans="1:36">
      <c r="A275" t="s">
        <v>112</v>
      </c>
      <c r="B275" t="s">
        <v>314</v>
      </c>
      <c r="C275" s="3" t="s">
        <v>111</v>
      </c>
      <c r="D275" s="3" t="s">
        <v>37</v>
      </c>
      <c r="E275" s="44">
        <v>73000</v>
      </c>
      <c r="F275" s="44">
        <v>73000</v>
      </c>
      <c r="G275" s="44">
        <v>73000</v>
      </c>
      <c r="H275" s="44">
        <v>73000</v>
      </c>
      <c r="I275" s="45">
        <v>102.88</v>
      </c>
      <c r="J275" s="45">
        <v>102.88</v>
      </c>
      <c r="K275" s="45">
        <v>101.23</v>
      </c>
      <c r="L275" s="45">
        <v>101.23</v>
      </c>
      <c r="M275" s="43">
        <v>250</v>
      </c>
      <c r="N275" s="43">
        <v>250</v>
      </c>
      <c r="O275" s="43">
        <v>250</v>
      </c>
      <c r="P275" s="43">
        <v>250</v>
      </c>
      <c r="Q275" s="43">
        <v>115</v>
      </c>
      <c r="R275" s="43">
        <v>115</v>
      </c>
      <c r="S275" s="43">
        <v>115</v>
      </c>
      <c r="T275" s="43">
        <v>115</v>
      </c>
      <c r="U275" s="43">
        <v>115</v>
      </c>
      <c r="V275" s="43">
        <v>115</v>
      </c>
      <c r="W275" s="43">
        <v>115</v>
      </c>
      <c r="X275" s="43">
        <v>115</v>
      </c>
      <c r="Y275" s="43">
        <v>250</v>
      </c>
      <c r="Z275" s="43">
        <v>250</v>
      </c>
      <c r="AA275" s="43">
        <v>250</v>
      </c>
      <c r="AB275" s="43">
        <v>250</v>
      </c>
      <c r="AC275" s="43">
        <v>2</v>
      </c>
      <c r="AD275" s="43">
        <v>4</v>
      </c>
      <c r="AE275" s="43">
        <v>8</v>
      </c>
      <c r="AF275" s="43">
        <v>8</v>
      </c>
      <c r="AG275" s="43">
        <v>0</v>
      </c>
      <c r="AH275" s="43">
        <v>0</v>
      </c>
      <c r="AI275" s="43">
        <v>0</v>
      </c>
      <c r="AJ275" s="43">
        <v>0</v>
      </c>
    </row>
    <row r="276" spans="1:36">
      <c r="A276" t="s">
        <v>112</v>
      </c>
      <c r="B276" t="s">
        <v>314</v>
      </c>
      <c r="C276" s="3" t="s">
        <v>111</v>
      </c>
      <c r="D276" s="3" t="s">
        <v>37</v>
      </c>
      <c r="E276" s="44">
        <v>74000</v>
      </c>
      <c r="F276" s="44">
        <v>74000</v>
      </c>
      <c r="G276" s="44">
        <v>74000</v>
      </c>
      <c r="H276" s="44">
        <v>74000</v>
      </c>
      <c r="I276" s="45">
        <v>102.84</v>
      </c>
      <c r="J276" s="45">
        <v>102.84</v>
      </c>
      <c r="K276" s="45">
        <v>101.22</v>
      </c>
      <c r="L276" s="45">
        <v>101.22</v>
      </c>
      <c r="M276" s="43">
        <v>250</v>
      </c>
      <c r="N276" s="43">
        <v>250</v>
      </c>
      <c r="O276" s="43">
        <v>250</v>
      </c>
      <c r="P276" s="43">
        <v>250</v>
      </c>
      <c r="Q276" s="43">
        <v>115</v>
      </c>
      <c r="R276" s="43">
        <v>115</v>
      </c>
      <c r="S276" s="43">
        <v>115</v>
      </c>
      <c r="T276" s="43">
        <v>115</v>
      </c>
      <c r="U276" s="43">
        <v>115</v>
      </c>
      <c r="V276" s="43">
        <v>115</v>
      </c>
      <c r="W276" s="43">
        <v>115</v>
      </c>
      <c r="X276" s="43">
        <v>115</v>
      </c>
      <c r="Y276" s="43">
        <v>250</v>
      </c>
      <c r="Z276" s="43">
        <v>250</v>
      </c>
      <c r="AA276" s="43">
        <v>250</v>
      </c>
      <c r="AB276" s="43">
        <v>250</v>
      </c>
      <c r="AC276" s="43">
        <v>2</v>
      </c>
      <c r="AD276" s="43">
        <v>4</v>
      </c>
      <c r="AE276" s="43">
        <v>8</v>
      </c>
      <c r="AF276" s="43">
        <v>8</v>
      </c>
      <c r="AG276" s="43">
        <v>0</v>
      </c>
      <c r="AH276" s="43">
        <v>0</v>
      </c>
      <c r="AI276" s="43">
        <v>0</v>
      </c>
      <c r="AJ276" s="43">
        <v>0</v>
      </c>
    </row>
    <row r="277" spans="1:36">
      <c r="A277" t="s">
        <v>112</v>
      </c>
      <c r="B277" t="s">
        <v>314</v>
      </c>
      <c r="C277" s="3" t="s">
        <v>111</v>
      </c>
      <c r="D277" s="3" t="s">
        <v>37</v>
      </c>
      <c r="E277" s="44">
        <v>75000</v>
      </c>
      <c r="F277" s="44">
        <v>75000</v>
      </c>
      <c r="G277" s="44">
        <v>75000</v>
      </c>
      <c r="H277" s="44">
        <v>75000</v>
      </c>
      <c r="I277" s="45">
        <v>102.8</v>
      </c>
      <c r="J277" s="45">
        <v>102.8</v>
      </c>
      <c r="K277" s="45">
        <v>101.2</v>
      </c>
      <c r="L277" s="45">
        <v>101.2</v>
      </c>
      <c r="M277" s="43">
        <v>250</v>
      </c>
      <c r="N277" s="43">
        <v>250</v>
      </c>
      <c r="O277" s="43">
        <v>250</v>
      </c>
      <c r="P277" s="43">
        <v>250</v>
      </c>
      <c r="Q277" s="43">
        <v>115</v>
      </c>
      <c r="R277" s="43">
        <v>115</v>
      </c>
      <c r="S277" s="43">
        <v>115</v>
      </c>
      <c r="T277" s="43">
        <v>115</v>
      </c>
      <c r="U277" s="43">
        <v>115</v>
      </c>
      <c r="V277" s="43">
        <v>115</v>
      </c>
      <c r="W277" s="43">
        <v>115</v>
      </c>
      <c r="X277" s="43">
        <v>115</v>
      </c>
      <c r="Y277" s="43">
        <v>250</v>
      </c>
      <c r="Z277" s="43">
        <v>250</v>
      </c>
      <c r="AA277" s="43">
        <v>250</v>
      </c>
      <c r="AB277" s="43">
        <v>250</v>
      </c>
      <c r="AC277" s="43">
        <v>2</v>
      </c>
      <c r="AD277" s="43">
        <v>4</v>
      </c>
      <c r="AE277" s="43">
        <v>8</v>
      </c>
      <c r="AF277" s="43">
        <v>8</v>
      </c>
      <c r="AG277" s="43">
        <v>0</v>
      </c>
      <c r="AH277" s="43">
        <v>0</v>
      </c>
      <c r="AI277" s="43">
        <v>0</v>
      </c>
      <c r="AJ277" s="43">
        <v>0</v>
      </c>
    </row>
    <row r="278" spans="1:36">
      <c r="A278" t="s">
        <v>112</v>
      </c>
      <c r="B278" t="s">
        <v>314</v>
      </c>
      <c r="C278" s="3" t="s">
        <v>111</v>
      </c>
      <c r="D278" s="3" t="s">
        <v>37</v>
      </c>
      <c r="E278" s="44">
        <v>76000</v>
      </c>
      <c r="F278" s="44">
        <v>76000</v>
      </c>
      <c r="G278" s="44">
        <v>76000</v>
      </c>
      <c r="H278" s="44">
        <v>76000</v>
      </c>
      <c r="I278" s="45">
        <v>102.76</v>
      </c>
      <c r="J278" s="45">
        <v>102.76</v>
      </c>
      <c r="K278" s="45">
        <v>101.18</v>
      </c>
      <c r="L278" s="45">
        <v>101.18</v>
      </c>
      <c r="M278" s="43">
        <v>250</v>
      </c>
      <c r="N278" s="43">
        <v>250</v>
      </c>
      <c r="O278" s="43">
        <v>250</v>
      </c>
      <c r="P278" s="43">
        <v>250</v>
      </c>
      <c r="Q278" s="43">
        <v>115</v>
      </c>
      <c r="R278" s="43">
        <v>115</v>
      </c>
      <c r="S278" s="43">
        <v>115</v>
      </c>
      <c r="T278" s="43">
        <v>115</v>
      </c>
      <c r="U278" s="43">
        <v>115</v>
      </c>
      <c r="V278" s="43">
        <v>115</v>
      </c>
      <c r="W278" s="43">
        <v>115</v>
      </c>
      <c r="X278" s="43">
        <v>115</v>
      </c>
      <c r="Y278" s="43">
        <v>250</v>
      </c>
      <c r="Z278" s="43">
        <v>250</v>
      </c>
      <c r="AA278" s="43">
        <v>250</v>
      </c>
      <c r="AB278" s="43">
        <v>250</v>
      </c>
      <c r="AC278" s="43">
        <v>2</v>
      </c>
      <c r="AD278" s="43">
        <v>4</v>
      </c>
      <c r="AE278" s="43">
        <v>8</v>
      </c>
      <c r="AF278" s="43">
        <v>8</v>
      </c>
      <c r="AG278" s="43">
        <v>0</v>
      </c>
      <c r="AH278" s="43">
        <v>0</v>
      </c>
      <c r="AI278" s="43">
        <v>0</v>
      </c>
      <c r="AJ278" s="43">
        <v>0</v>
      </c>
    </row>
    <row r="279" spans="1:36">
      <c r="A279" t="s">
        <v>112</v>
      </c>
      <c r="B279" t="s">
        <v>314</v>
      </c>
      <c r="C279" s="3" t="s">
        <v>111</v>
      </c>
      <c r="D279" s="3" t="s">
        <v>37</v>
      </c>
      <c r="E279" s="44">
        <v>77000</v>
      </c>
      <c r="F279" s="44">
        <v>77000</v>
      </c>
      <c r="G279" s="44">
        <v>77000</v>
      </c>
      <c r="H279" s="44">
        <v>77000</v>
      </c>
      <c r="I279" s="45">
        <v>102.73</v>
      </c>
      <c r="J279" s="45">
        <v>102.73</v>
      </c>
      <c r="K279" s="45">
        <v>101.17</v>
      </c>
      <c r="L279" s="45">
        <v>101.17</v>
      </c>
      <c r="M279" s="43">
        <v>250</v>
      </c>
      <c r="N279" s="43">
        <v>250</v>
      </c>
      <c r="O279" s="43">
        <v>250</v>
      </c>
      <c r="P279" s="43">
        <v>250</v>
      </c>
      <c r="Q279" s="43">
        <v>115</v>
      </c>
      <c r="R279" s="43">
        <v>115</v>
      </c>
      <c r="S279" s="43">
        <v>115</v>
      </c>
      <c r="T279" s="43">
        <v>115</v>
      </c>
      <c r="U279" s="43">
        <v>115</v>
      </c>
      <c r="V279" s="43">
        <v>115</v>
      </c>
      <c r="W279" s="43">
        <v>115</v>
      </c>
      <c r="X279" s="43">
        <v>115</v>
      </c>
      <c r="Y279" s="43">
        <v>250</v>
      </c>
      <c r="Z279" s="43">
        <v>250</v>
      </c>
      <c r="AA279" s="43">
        <v>250</v>
      </c>
      <c r="AB279" s="43">
        <v>250</v>
      </c>
      <c r="AC279" s="43">
        <v>2</v>
      </c>
      <c r="AD279" s="43">
        <v>4</v>
      </c>
      <c r="AE279" s="43">
        <v>8</v>
      </c>
      <c r="AF279" s="43">
        <v>8</v>
      </c>
      <c r="AG279" s="43">
        <v>0</v>
      </c>
      <c r="AH279" s="43">
        <v>0</v>
      </c>
      <c r="AI279" s="43">
        <v>0</v>
      </c>
      <c r="AJ279" s="43">
        <v>0</v>
      </c>
    </row>
    <row r="280" spans="1:36">
      <c r="A280" t="s">
        <v>112</v>
      </c>
      <c r="B280" t="s">
        <v>314</v>
      </c>
      <c r="C280" s="3" t="s">
        <v>111</v>
      </c>
      <c r="D280" s="3" t="s">
        <v>37</v>
      </c>
      <c r="E280" s="44">
        <v>78000</v>
      </c>
      <c r="F280" s="44">
        <v>78000</v>
      </c>
      <c r="G280" s="44">
        <v>78000</v>
      </c>
      <c r="H280" s="44">
        <v>78000</v>
      </c>
      <c r="I280" s="45">
        <v>102.69</v>
      </c>
      <c r="J280" s="45">
        <v>102.69</v>
      </c>
      <c r="K280" s="45">
        <v>101.15</v>
      </c>
      <c r="L280" s="45">
        <v>101.15</v>
      </c>
      <c r="M280" s="43">
        <v>250</v>
      </c>
      <c r="N280" s="43">
        <v>250</v>
      </c>
      <c r="O280" s="43">
        <v>250</v>
      </c>
      <c r="P280" s="43">
        <v>250</v>
      </c>
      <c r="Q280" s="43">
        <v>115</v>
      </c>
      <c r="R280" s="43">
        <v>115</v>
      </c>
      <c r="S280" s="43">
        <v>115</v>
      </c>
      <c r="T280" s="43">
        <v>115</v>
      </c>
      <c r="U280" s="43">
        <v>115</v>
      </c>
      <c r="V280" s="43">
        <v>115</v>
      </c>
      <c r="W280" s="43">
        <v>115</v>
      </c>
      <c r="X280" s="43">
        <v>115</v>
      </c>
      <c r="Y280" s="43">
        <v>250</v>
      </c>
      <c r="Z280" s="43">
        <v>250</v>
      </c>
      <c r="AA280" s="43">
        <v>250</v>
      </c>
      <c r="AB280" s="43">
        <v>250</v>
      </c>
      <c r="AC280" s="43">
        <v>2</v>
      </c>
      <c r="AD280" s="43">
        <v>4</v>
      </c>
      <c r="AE280" s="43">
        <v>8</v>
      </c>
      <c r="AF280" s="43">
        <v>8</v>
      </c>
      <c r="AG280" s="43">
        <v>0</v>
      </c>
      <c r="AH280" s="43">
        <v>0</v>
      </c>
      <c r="AI280" s="43">
        <v>0</v>
      </c>
      <c r="AJ280" s="43">
        <v>0</v>
      </c>
    </row>
    <row r="281" spans="1:36">
      <c r="A281" t="s">
        <v>112</v>
      </c>
      <c r="B281" t="s">
        <v>314</v>
      </c>
      <c r="C281" s="3" t="s">
        <v>111</v>
      </c>
      <c r="D281" s="3" t="s">
        <v>37</v>
      </c>
      <c r="E281" s="44">
        <v>79000</v>
      </c>
      <c r="F281" s="44">
        <v>79000</v>
      </c>
      <c r="G281" s="44">
        <v>79000</v>
      </c>
      <c r="H281" s="44">
        <v>79000</v>
      </c>
      <c r="I281" s="45">
        <v>102.66</v>
      </c>
      <c r="J281" s="45">
        <v>102.66</v>
      </c>
      <c r="K281" s="45">
        <v>101.14</v>
      </c>
      <c r="L281" s="45">
        <v>101.14</v>
      </c>
      <c r="M281" s="43">
        <v>250</v>
      </c>
      <c r="N281" s="43">
        <v>250</v>
      </c>
      <c r="O281" s="43">
        <v>250</v>
      </c>
      <c r="P281" s="43">
        <v>250</v>
      </c>
      <c r="Q281" s="43">
        <v>115</v>
      </c>
      <c r="R281" s="43">
        <v>115</v>
      </c>
      <c r="S281" s="43">
        <v>115</v>
      </c>
      <c r="T281" s="43">
        <v>115</v>
      </c>
      <c r="U281" s="43">
        <v>115</v>
      </c>
      <c r="V281" s="43">
        <v>115</v>
      </c>
      <c r="W281" s="43">
        <v>115</v>
      </c>
      <c r="X281" s="43">
        <v>115</v>
      </c>
      <c r="Y281" s="43">
        <v>250</v>
      </c>
      <c r="Z281" s="43">
        <v>250</v>
      </c>
      <c r="AA281" s="43">
        <v>250</v>
      </c>
      <c r="AB281" s="43">
        <v>250</v>
      </c>
      <c r="AC281" s="43">
        <v>2</v>
      </c>
      <c r="AD281" s="43">
        <v>4</v>
      </c>
      <c r="AE281" s="43">
        <v>8</v>
      </c>
      <c r="AF281" s="43">
        <v>8</v>
      </c>
      <c r="AG281" s="43">
        <v>0</v>
      </c>
      <c r="AH281" s="43">
        <v>0</v>
      </c>
      <c r="AI281" s="43">
        <v>0</v>
      </c>
      <c r="AJ281" s="43">
        <v>0</v>
      </c>
    </row>
    <row r="282" spans="1:36">
      <c r="A282" t="s">
        <v>112</v>
      </c>
      <c r="B282" t="s">
        <v>314</v>
      </c>
      <c r="C282" s="3" t="s">
        <v>111</v>
      </c>
      <c r="D282" s="3" t="s">
        <v>37</v>
      </c>
      <c r="E282" s="44">
        <v>80000</v>
      </c>
      <c r="F282" s="44">
        <v>80000</v>
      </c>
      <c r="G282" s="44">
        <v>80000</v>
      </c>
      <c r="H282" s="44">
        <v>80000</v>
      </c>
      <c r="I282" s="45">
        <v>102.63</v>
      </c>
      <c r="J282" s="45">
        <v>102.63</v>
      </c>
      <c r="K282" s="45">
        <v>101.13</v>
      </c>
      <c r="L282" s="45">
        <v>101.13</v>
      </c>
      <c r="M282" s="43">
        <v>250</v>
      </c>
      <c r="N282" s="43">
        <v>250</v>
      </c>
      <c r="O282" s="43">
        <v>250</v>
      </c>
      <c r="P282" s="43">
        <v>250</v>
      </c>
      <c r="Q282" s="43">
        <v>115</v>
      </c>
      <c r="R282" s="43">
        <v>115</v>
      </c>
      <c r="S282" s="43">
        <v>115</v>
      </c>
      <c r="T282" s="43">
        <v>115</v>
      </c>
      <c r="U282" s="43">
        <v>115</v>
      </c>
      <c r="V282" s="43">
        <v>115</v>
      </c>
      <c r="W282" s="43">
        <v>115</v>
      </c>
      <c r="X282" s="43">
        <v>115</v>
      </c>
      <c r="Y282" s="43">
        <v>250</v>
      </c>
      <c r="Z282" s="43">
        <v>250</v>
      </c>
      <c r="AA282" s="43">
        <v>250</v>
      </c>
      <c r="AB282" s="43">
        <v>250</v>
      </c>
      <c r="AC282" s="43">
        <v>2</v>
      </c>
      <c r="AD282" s="43">
        <v>4</v>
      </c>
      <c r="AE282" s="43">
        <v>8</v>
      </c>
      <c r="AF282" s="43">
        <v>8</v>
      </c>
      <c r="AG282" s="43">
        <v>0</v>
      </c>
      <c r="AH282" s="43">
        <v>0</v>
      </c>
      <c r="AI282" s="43">
        <v>0</v>
      </c>
      <c r="AJ282" s="43">
        <v>0</v>
      </c>
    </row>
    <row r="283" spans="1:36">
      <c r="A283" t="s">
        <v>112</v>
      </c>
      <c r="B283" t="s">
        <v>314</v>
      </c>
      <c r="C283" s="3" t="s">
        <v>111</v>
      </c>
      <c r="D283" s="3" t="s">
        <v>37</v>
      </c>
      <c r="E283" s="44">
        <v>81000</v>
      </c>
      <c r="F283" s="44">
        <v>81000</v>
      </c>
      <c r="G283" s="44">
        <v>81000</v>
      </c>
      <c r="H283" s="44">
        <v>81000</v>
      </c>
      <c r="I283" s="45">
        <v>102.59</v>
      </c>
      <c r="J283" s="45">
        <v>102.59</v>
      </c>
      <c r="K283" s="45">
        <v>101.11</v>
      </c>
      <c r="L283" s="45">
        <v>101.11</v>
      </c>
      <c r="M283" s="43">
        <v>250</v>
      </c>
      <c r="N283" s="43">
        <v>250</v>
      </c>
      <c r="O283" s="43">
        <v>250</v>
      </c>
      <c r="P283" s="43">
        <v>250</v>
      </c>
      <c r="Q283" s="43">
        <v>115</v>
      </c>
      <c r="R283" s="43">
        <v>115</v>
      </c>
      <c r="S283" s="43">
        <v>115</v>
      </c>
      <c r="T283" s="43">
        <v>115</v>
      </c>
      <c r="U283" s="43">
        <v>115</v>
      </c>
      <c r="V283" s="43">
        <v>115</v>
      </c>
      <c r="W283" s="43">
        <v>115</v>
      </c>
      <c r="X283" s="43">
        <v>115</v>
      </c>
      <c r="Y283" s="43">
        <v>250</v>
      </c>
      <c r="Z283" s="43">
        <v>250</v>
      </c>
      <c r="AA283" s="43">
        <v>250</v>
      </c>
      <c r="AB283" s="43">
        <v>250</v>
      </c>
      <c r="AC283" s="43">
        <v>2</v>
      </c>
      <c r="AD283" s="43">
        <v>4</v>
      </c>
      <c r="AE283" s="43">
        <v>8</v>
      </c>
      <c r="AF283" s="43">
        <v>8</v>
      </c>
      <c r="AG283" s="43">
        <v>0</v>
      </c>
      <c r="AH283" s="43">
        <v>0</v>
      </c>
      <c r="AI283" s="43">
        <v>0</v>
      </c>
      <c r="AJ283" s="43">
        <v>0</v>
      </c>
    </row>
    <row r="284" spans="1:36">
      <c r="A284" t="s">
        <v>112</v>
      </c>
      <c r="B284" t="s">
        <v>314</v>
      </c>
      <c r="C284" s="3" t="s">
        <v>111</v>
      </c>
      <c r="D284" s="3" t="s">
        <v>37</v>
      </c>
      <c r="E284" s="44">
        <v>82000</v>
      </c>
      <c r="F284" s="44">
        <v>82000</v>
      </c>
      <c r="G284" s="44">
        <v>82000</v>
      </c>
      <c r="H284" s="44">
        <v>82000</v>
      </c>
      <c r="I284" s="45">
        <v>102.56</v>
      </c>
      <c r="J284" s="45">
        <v>102.56</v>
      </c>
      <c r="K284" s="45">
        <v>101.1</v>
      </c>
      <c r="L284" s="45">
        <v>101.1</v>
      </c>
      <c r="M284" s="43">
        <v>250</v>
      </c>
      <c r="N284" s="43">
        <v>250</v>
      </c>
      <c r="O284" s="43">
        <v>250</v>
      </c>
      <c r="P284" s="43">
        <v>250</v>
      </c>
      <c r="Q284" s="43">
        <v>115</v>
      </c>
      <c r="R284" s="43">
        <v>115</v>
      </c>
      <c r="S284" s="43">
        <v>115</v>
      </c>
      <c r="T284" s="43">
        <v>115</v>
      </c>
      <c r="U284" s="43">
        <v>115</v>
      </c>
      <c r="V284" s="43">
        <v>115</v>
      </c>
      <c r="W284" s="43">
        <v>115</v>
      </c>
      <c r="X284" s="43">
        <v>115</v>
      </c>
      <c r="Y284" s="43">
        <v>250</v>
      </c>
      <c r="Z284" s="43">
        <v>250</v>
      </c>
      <c r="AA284" s="43">
        <v>250</v>
      </c>
      <c r="AB284" s="43">
        <v>250</v>
      </c>
      <c r="AC284" s="43">
        <v>2</v>
      </c>
      <c r="AD284" s="43">
        <v>4</v>
      </c>
      <c r="AE284" s="43">
        <v>8</v>
      </c>
      <c r="AF284" s="43">
        <v>8</v>
      </c>
      <c r="AG284" s="43">
        <v>0</v>
      </c>
      <c r="AH284" s="43">
        <v>0</v>
      </c>
      <c r="AI284" s="43">
        <v>0</v>
      </c>
      <c r="AJ284" s="43">
        <v>0</v>
      </c>
    </row>
    <row r="285" spans="1:36">
      <c r="A285" t="s">
        <v>112</v>
      </c>
      <c r="B285" t="s">
        <v>314</v>
      </c>
      <c r="C285" s="3" t="s">
        <v>111</v>
      </c>
      <c r="D285" s="3" t="s">
        <v>37</v>
      </c>
      <c r="E285" s="44">
        <v>83000</v>
      </c>
      <c r="F285" s="44">
        <v>83000</v>
      </c>
      <c r="G285" s="44">
        <v>83000</v>
      </c>
      <c r="H285" s="44">
        <v>83000</v>
      </c>
      <c r="I285" s="45">
        <v>102.53</v>
      </c>
      <c r="J285" s="45">
        <v>102.53</v>
      </c>
      <c r="K285" s="45">
        <v>101.08</v>
      </c>
      <c r="L285" s="45">
        <v>101.08</v>
      </c>
      <c r="M285" s="43">
        <v>250</v>
      </c>
      <c r="N285" s="43">
        <v>250</v>
      </c>
      <c r="O285" s="43">
        <v>250</v>
      </c>
      <c r="P285" s="43">
        <v>250</v>
      </c>
      <c r="Q285" s="43">
        <v>115</v>
      </c>
      <c r="R285" s="43">
        <v>115</v>
      </c>
      <c r="S285" s="43">
        <v>115</v>
      </c>
      <c r="T285" s="43">
        <v>115</v>
      </c>
      <c r="U285" s="43">
        <v>115</v>
      </c>
      <c r="V285" s="43">
        <v>115</v>
      </c>
      <c r="W285" s="43">
        <v>115</v>
      </c>
      <c r="X285" s="43">
        <v>115</v>
      </c>
      <c r="Y285" s="43">
        <v>250</v>
      </c>
      <c r="Z285" s="43">
        <v>250</v>
      </c>
      <c r="AA285" s="43">
        <v>250</v>
      </c>
      <c r="AB285" s="43">
        <v>250</v>
      </c>
      <c r="AC285" s="43">
        <v>2</v>
      </c>
      <c r="AD285" s="43">
        <v>4</v>
      </c>
      <c r="AE285" s="43">
        <v>8</v>
      </c>
      <c r="AF285" s="43">
        <v>8</v>
      </c>
      <c r="AG285" s="43">
        <v>0</v>
      </c>
      <c r="AH285" s="43">
        <v>0</v>
      </c>
      <c r="AI285" s="43">
        <v>0</v>
      </c>
      <c r="AJ285" s="43">
        <v>0</v>
      </c>
    </row>
    <row r="286" spans="1:36">
      <c r="A286" t="s">
        <v>112</v>
      </c>
      <c r="B286" t="s">
        <v>314</v>
      </c>
      <c r="C286" s="3" t="s">
        <v>111</v>
      </c>
      <c r="D286" s="3" t="s">
        <v>37</v>
      </c>
      <c r="E286" s="44">
        <v>84000</v>
      </c>
      <c r="F286" s="44">
        <v>84000</v>
      </c>
      <c r="G286" s="44">
        <v>84000</v>
      </c>
      <c r="H286" s="44">
        <v>84000</v>
      </c>
      <c r="I286" s="45">
        <v>102.5</v>
      </c>
      <c r="J286" s="45">
        <v>102.5</v>
      </c>
      <c r="K286" s="45">
        <v>101.07</v>
      </c>
      <c r="L286" s="45">
        <v>101.07</v>
      </c>
      <c r="M286" s="43">
        <v>250</v>
      </c>
      <c r="N286" s="43">
        <v>250</v>
      </c>
      <c r="O286" s="43">
        <v>250</v>
      </c>
      <c r="P286" s="43">
        <v>250</v>
      </c>
      <c r="Q286" s="43">
        <v>115</v>
      </c>
      <c r="R286" s="43">
        <v>115</v>
      </c>
      <c r="S286" s="43">
        <v>115</v>
      </c>
      <c r="T286" s="43">
        <v>115</v>
      </c>
      <c r="U286" s="43">
        <v>115</v>
      </c>
      <c r="V286" s="43">
        <v>115</v>
      </c>
      <c r="W286" s="43">
        <v>115</v>
      </c>
      <c r="X286" s="43">
        <v>115</v>
      </c>
      <c r="Y286" s="43">
        <v>250</v>
      </c>
      <c r="Z286" s="43">
        <v>250</v>
      </c>
      <c r="AA286" s="43">
        <v>250</v>
      </c>
      <c r="AB286" s="43">
        <v>250</v>
      </c>
      <c r="AC286" s="43">
        <v>2</v>
      </c>
      <c r="AD286" s="43">
        <v>4</v>
      </c>
      <c r="AE286" s="43">
        <v>8</v>
      </c>
      <c r="AF286" s="43">
        <v>8</v>
      </c>
      <c r="AG286" s="43">
        <v>0</v>
      </c>
      <c r="AH286" s="43">
        <v>0</v>
      </c>
      <c r="AI286" s="43">
        <v>0</v>
      </c>
      <c r="AJ286" s="43">
        <v>0</v>
      </c>
    </row>
    <row r="287" spans="1:36">
      <c r="A287" t="s">
        <v>112</v>
      </c>
      <c r="B287" t="s">
        <v>314</v>
      </c>
      <c r="C287" s="3" t="s">
        <v>111</v>
      </c>
      <c r="D287" s="3" t="s">
        <v>37</v>
      </c>
      <c r="E287" s="44">
        <v>85000</v>
      </c>
      <c r="F287" s="44">
        <v>85000</v>
      </c>
      <c r="G287" s="44">
        <v>85000</v>
      </c>
      <c r="H287" s="44">
        <v>85000</v>
      </c>
      <c r="I287" s="45">
        <v>102.47</v>
      </c>
      <c r="J287" s="45">
        <v>102.47</v>
      </c>
      <c r="K287" s="45">
        <v>101.06</v>
      </c>
      <c r="L287" s="45">
        <v>101.06</v>
      </c>
      <c r="M287" s="43">
        <v>250</v>
      </c>
      <c r="N287" s="43">
        <v>250</v>
      </c>
      <c r="O287" s="43">
        <v>250</v>
      </c>
      <c r="P287" s="43">
        <v>250</v>
      </c>
      <c r="Q287" s="43">
        <v>115</v>
      </c>
      <c r="R287" s="43">
        <v>115</v>
      </c>
      <c r="S287" s="43">
        <v>115</v>
      </c>
      <c r="T287" s="43">
        <v>115</v>
      </c>
      <c r="U287" s="43">
        <v>115</v>
      </c>
      <c r="V287" s="43">
        <v>115</v>
      </c>
      <c r="W287" s="43">
        <v>115</v>
      </c>
      <c r="X287" s="43">
        <v>115</v>
      </c>
      <c r="Y287" s="43">
        <v>250</v>
      </c>
      <c r="Z287" s="43">
        <v>250</v>
      </c>
      <c r="AA287" s="43">
        <v>250</v>
      </c>
      <c r="AB287" s="43">
        <v>250</v>
      </c>
      <c r="AC287" s="43">
        <v>2</v>
      </c>
      <c r="AD287" s="43">
        <v>4</v>
      </c>
      <c r="AE287" s="43">
        <v>8</v>
      </c>
      <c r="AF287" s="43">
        <v>8</v>
      </c>
      <c r="AG287" s="43">
        <v>0</v>
      </c>
      <c r="AH287" s="43">
        <v>0</v>
      </c>
      <c r="AI287" s="43">
        <v>0</v>
      </c>
      <c r="AJ287" s="43">
        <v>0</v>
      </c>
    </row>
    <row r="288" spans="1:36">
      <c r="A288" t="s">
        <v>112</v>
      </c>
      <c r="B288" t="s">
        <v>314</v>
      </c>
      <c r="C288" s="3" t="s">
        <v>111</v>
      </c>
      <c r="D288" s="3" t="s">
        <v>37</v>
      </c>
      <c r="E288" s="44">
        <v>86000</v>
      </c>
      <c r="F288" s="44">
        <v>86000</v>
      </c>
      <c r="G288" s="44">
        <v>86000</v>
      </c>
      <c r="H288" s="44">
        <v>86000</v>
      </c>
      <c r="I288" s="45">
        <v>102.44</v>
      </c>
      <c r="J288" s="45">
        <v>102.44</v>
      </c>
      <c r="K288" s="45">
        <v>101.05</v>
      </c>
      <c r="L288" s="45">
        <v>101.05</v>
      </c>
      <c r="M288" s="43">
        <v>250</v>
      </c>
      <c r="N288" s="43">
        <v>250</v>
      </c>
      <c r="O288" s="43">
        <v>250</v>
      </c>
      <c r="P288" s="43">
        <v>250</v>
      </c>
      <c r="Q288" s="43">
        <v>115</v>
      </c>
      <c r="R288" s="43">
        <v>115</v>
      </c>
      <c r="S288" s="43">
        <v>115</v>
      </c>
      <c r="T288" s="43">
        <v>115</v>
      </c>
      <c r="U288" s="43">
        <v>115</v>
      </c>
      <c r="V288" s="43">
        <v>115</v>
      </c>
      <c r="W288" s="43">
        <v>115</v>
      </c>
      <c r="X288" s="43">
        <v>115</v>
      </c>
      <c r="Y288" s="43">
        <v>250</v>
      </c>
      <c r="Z288" s="43">
        <v>250</v>
      </c>
      <c r="AA288" s="43">
        <v>250</v>
      </c>
      <c r="AB288" s="43">
        <v>250</v>
      </c>
      <c r="AC288" s="43">
        <v>2</v>
      </c>
      <c r="AD288" s="43">
        <v>4</v>
      </c>
      <c r="AE288" s="43">
        <v>8</v>
      </c>
      <c r="AF288" s="43">
        <v>8</v>
      </c>
      <c r="AG288" s="43">
        <v>0</v>
      </c>
      <c r="AH288" s="43">
        <v>0</v>
      </c>
      <c r="AI288" s="43">
        <v>0</v>
      </c>
      <c r="AJ288" s="43">
        <v>0</v>
      </c>
    </row>
    <row r="289" spans="1:36">
      <c r="A289" t="s">
        <v>112</v>
      </c>
      <c r="B289" t="s">
        <v>314</v>
      </c>
      <c r="C289" s="3" t="s">
        <v>111</v>
      </c>
      <c r="D289" s="3" t="s">
        <v>37</v>
      </c>
      <c r="E289" s="44">
        <v>87000</v>
      </c>
      <c r="F289" s="44">
        <v>87000</v>
      </c>
      <c r="G289" s="44">
        <v>87000</v>
      </c>
      <c r="H289" s="44">
        <v>87000</v>
      </c>
      <c r="I289" s="45">
        <v>102.41</v>
      </c>
      <c r="J289" s="45">
        <v>102.41</v>
      </c>
      <c r="K289" s="45">
        <v>101.03</v>
      </c>
      <c r="L289" s="45">
        <v>101.03</v>
      </c>
      <c r="M289" s="43">
        <v>250</v>
      </c>
      <c r="N289" s="43">
        <v>250</v>
      </c>
      <c r="O289" s="43">
        <v>250</v>
      </c>
      <c r="P289" s="43">
        <v>250</v>
      </c>
      <c r="Q289" s="43">
        <v>115</v>
      </c>
      <c r="R289" s="43">
        <v>115</v>
      </c>
      <c r="S289" s="43">
        <v>115</v>
      </c>
      <c r="T289" s="43">
        <v>115</v>
      </c>
      <c r="U289" s="43">
        <v>115</v>
      </c>
      <c r="V289" s="43">
        <v>115</v>
      </c>
      <c r="W289" s="43">
        <v>115</v>
      </c>
      <c r="X289" s="43">
        <v>115</v>
      </c>
      <c r="Y289" s="43">
        <v>250</v>
      </c>
      <c r="Z289" s="43">
        <v>250</v>
      </c>
      <c r="AA289" s="43">
        <v>250</v>
      </c>
      <c r="AB289" s="43">
        <v>250</v>
      </c>
      <c r="AC289" s="43">
        <v>2</v>
      </c>
      <c r="AD289" s="43">
        <v>4</v>
      </c>
      <c r="AE289" s="43">
        <v>8</v>
      </c>
      <c r="AF289" s="43">
        <v>8</v>
      </c>
      <c r="AG289" s="43">
        <v>0</v>
      </c>
      <c r="AH289" s="43">
        <v>0</v>
      </c>
      <c r="AI289" s="43">
        <v>0</v>
      </c>
      <c r="AJ289" s="43">
        <v>0</v>
      </c>
    </row>
    <row r="290" spans="1:36">
      <c r="A290" t="s">
        <v>112</v>
      </c>
      <c r="B290" t="s">
        <v>314</v>
      </c>
      <c r="C290" s="3" t="s">
        <v>111</v>
      </c>
      <c r="D290" s="3" t="s">
        <v>37</v>
      </c>
      <c r="E290" s="44">
        <v>88000</v>
      </c>
      <c r="F290" s="44">
        <v>88000</v>
      </c>
      <c r="G290" s="44">
        <v>88000</v>
      </c>
      <c r="H290" s="44">
        <v>88000</v>
      </c>
      <c r="I290" s="45">
        <v>102.39</v>
      </c>
      <c r="J290" s="45">
        <v>102.39</v>
      </c>
      <c r="K290" s="45">
        <v>101.02</v>
      </c>
      <c r="L290" s="45">
        <v>101.02</v>
      </c>
      <c r="M290" s="43">
        <v>250</v>
      </c>
      <c r="N290" s="43">
        <v>250</v>
      </c>
      <c r="O290" s="43">
        <v>250</v>
      </c>
      <c r="P290" s="43">
        <v>250</v>
      </c>
      <c r="Q290" s="43">
        <v>115</v>
      </c>
      <c r="R290" s="43">
        <v>115</v>
      </c>
      <c r="S290" s="43">
        <v>115</v>
      </c>
      <c r="T290" s="43">
        <v>115</v>
      </c>
      <c r="U290" s="43">
        <v>115</v>
      </c>
      <c r="V290" s="43">
        <v>115</v>
      </c>
      <c r="W290" s="43">
        <v>115</v>
      </c>
      <c r="X290" s="43">
        <v>115</v>
      </c>
      <c r="Y290" s="43">
        <v>250</v>
      </c>
      <c r="Z290" s="43">
        <v>250</v>
      </c>
      <c r="AA290" s="43">
        <v>250</v>
      </c>
      <c r="AB290" s="43">
        <v>250</v>
      </c>
      <c r="AC290" s="43">
        <v>2</v>
      </c>
      <c r="AD290" s="43">
        <v>4</v>
      </c>
      <c r="AE290" s="43">
        <v>8</v>
      </c>
      <c r="AF290" s="43">
        <v>8</v>
      </c>
      <c r="AG290" s="43">
        <v>0</v>
      </c>
      <c r="AH290" s="43">
        <v>0</v>
      </c>
      <c r="AI290" s="43">
        <v>0</v>
      </c>
      <c r="AJ290" s="43">
        <v>0</v>
      </c>
    </row>
    <row r="291" spans="1:36">
      <c r="A291" t="s">
        <v>112</v>
      </c>
      <c r="B291" t="s">
        <v>314</v>
      </c>
      <c r="C291" s="3" t="s">
        <v>111</v>
      </c>
      <c r="D291" s="3" t="s">
        <v>37</v>
      </c>
      <c r="E291" s="44">
        <v>89000</v>
      </c>
      <c r="F291" s="44">
        <v>89000</v>
      </c>
      <c r="G291" s="44">
        <v>89000</v>
      </c>
      <c r="H291" s="44">
        <v>89000</v>
      </c>
      <c r="I291" s="45">
        <v>102.36</v>
      </c>
      <c r="J291" s="45">
        <v>102.36</v>
      </c>
      <c r="K291" s="45">
        <v>101.01</v>
      </c>
      <c r="L291" s="45">
        <v>101.01</v>
      </c>
      <c r="M291" s="43">
        <v>250</v>
      </c>
      <c r="N291" s="43">
        <v>250</v>
      </c>
      <c r="O291" s="43">
        <v>250</v>
      </c>
      <c r="P291" s="43">
        <v>250</v>
      </c>
      <c r="Q291" s="43">
        <v>115</v>
      </c>
      <c r="R291" s="43">
        <v>115</v>
      </c>
      <c r="S291" s="43">
        <v>115</v>
      </c>
      <c r="T291" s="43">
        <v>115</v>
      </c>
      <c r="U291" s="43">
        <v>115</v>
      </c>
      <c r="V291" s="43">
        <v>115</v>
      </c>
      <c r="W291" s="43">
        <v>115</v>
      </c>
      <c r="X291" s="43">
        <v>115</v>
      </c>
      <c r="Y291" s="43">
        <v>250</v>
      </c>
      <c r="Z291" s="43">
        <v>250</v>
      </c>
      <c r="AA291" s="43">
        <v>250</v>
      </c>
      <c r="AB291" s="43">
        <v>250</v>
      </c>
      <c r="AC291" s="43">
        <v>2</v>
      </c>
      <c r="AD291" s="43">
        <v>4</v>
      </c>
      <c r="AE291" s="43">
        <v>8</v>
      </c>
      <c r="AF291" s="43">
        <v>8</v>
      </c>
      <c r="AG291" s="43">
        <v>0</v>
      </c>
      <c r="AH291" s="43">
        <v>0</v>
      </c>
      <c r="AI291" s="43">
        <v>0</v>
      </c>
      <c r="AJ291" s="43">
        <v>0</v>
      </c>
    </row>
    <row r="292" spans="1:36">
      <c r="A292" t="s">
        <v>112</v>
      </c>
      <c r="B292" t="s">
        <v>314</v>
      </c>
      <c r="C292" s="3" t="s">
        <v>111</v>
      </c>
      <c r="D292" s="3" t="s">
        <v>37</v>
      </c>
      <c r="E292" s="44">
        <v>90000</v>
      </c>
      <c r="F292" s="44">
        <v>90000</v>
      </c>
      <c r="G292" s="44">
        <v>90000</v>
      </c>
      <c r="H292" s="44">
        <v>90000</v>
      </c>
      <c r="I292" s="45">
        <v>102.33</v>
      </c>
      <c r="J292" s="45">
        <v>102.33</v>
      </c>
      <c r="K292" s="45">
        <v>101</v>
      </c>
      <c r="L292" s="45">
        <v>101</v>
      </c>
      <c r="M292" s="43">
        <v>250</v>
      </c>
      <c r="N292" s="43">
        <v>250</v>
      </c>
      <c r="O292" s="43">
        <v>250</v>
      </c>
      <c r="P292" s="43">
        <v>250</v>
      </c>
      <c r="Q292" s="43">
        <v>115</v>
      </c>
      <c r="R292" s="43">
        <v>115</v>
      </c>
      <c r="S292" s="43">
        <v>115</v>
      </c>
      <c r="T292" s="43">
        <v>115</v>
      </c>
      <c r="U292" s="43">
        <v>115</v>
      </c>
      <c r="V292" s="43">
        <v>115</v>
      </c>
      <c r="W292" s="43">
        <v>115</v>
      </c>
      <c r="X292" s="43">
        <v>115</v>
      </c>
      <c r="Y292" s="43">
        <v>250</v>
      </c>
      <c r="Z292" s="43">
        <v>250</v>
      </c>
      <c r="AA292" s="43">
        <v>250</v>
      </c>
      <c r="AB292" s="43">
        <v>250</v>
      </c>
      <c r="AC292" s="43">
        <v>2</v>
      </c>
      <c r="AD292" s="43">
        <v>4</v>
      </c>
      <c r="AE292" s="43">
        <v>8</v>
      </c>
      <c r="AF292" s="43">
        <v>8</v>
      </c>
      <c r="AG292" s="43">
        <v>0</v>
      </c>
      <c r="AH292" s="43">
        <v>0</v>
      </c>
      <c r="AI292" s="43">
        <v>0</v>
      </c>
      <c r="AJ292" s="43">
        <v>0</v>
      </c>
    </row>
    <row r="293" spans="1:36">
      <c r="A293" t="s">
        <v>112</v>
      </c>
      <c r="B293" t="s">
        <v>314</v>
      </c>
      <c r="C293" s="3" t="s">
        <v>111</v>
      </c>
      <c r="D293" s="3" t="s">
        <v>37</v>
      </c>
      <c r="E293" s="44">
        <v>91000</v>
      </c>
      <c r="F293" s="44">
        <v>91000</v>
      </c>
      <c r="G293" s="44">
        <v>91000</v>
      </c>
      <c r="H293" s="44">
        <v>91000</v>
      </c>
      <c r="I293" s="45">
        <v>102.31</v>
      </c>
      <c r="J293" s="45">
        <v>102.31</v>
      </c>
      <c r="K293" s="45">
        <v>100.99</v>
      </c>
      <c r="L293" s="45">
        <v>100.99</v>
      </c>
      <c r="M293" s="43">
        <v>250</v>
      </c>
      <c r="N293" s="43">
        <v>250</v>
      </c>
      <c r="O293" s="43">
        <v>250</v>
      </c>
      <c r="P293" s="43">
        <v>250</v>
      </c>
      <c r="Q293" s="43">
        <v>115</v>
      </c>
      <c r="R293" s="43">
        <v>115</v>
      </c>
      <c r="S293" s="43">
        <v>115</v>
      </c>
      <c r="T293" s="43">
        <v>115</v>
      </c>
      <c r="U293" s="43">
        <v>115</v>
      </c>
      <c r="V293" s="43">
        <v>115</v>
      </c>
      <c r="W293" s="43">
        <v>115</v>
      </c>
      <c r="X293" s="43">
        <v>115</v>
      </c>
      <c r="Y293" s="43">
        <v>250</v>
      </c>
      <c r="Z293" s="43">
        <v>250</v>
      </c>
      <c r="AA293" s="43">
        <v>250</v>
      </c>
      <c r="AB293" s="43">
        <v>250</v>
      </c>
      <c r="AC293" s="43">
        <v>2</v>
      </c>
      <c r="AD293" s="43">
        <v>4</v>
      </c>
      <c r="AE293" s="43">
        <v>8</v>
      </c>
      <c r="AF293" s="43">
        <v>8</v>
      </c>
      <c r="AG293" s="43">
        <v>0</v>
      </c>
      <c r="AH293" s="43">
        <v>0</v>
      </c>
      <c r="AI293" s="43">
        <v>0</v>
      </c>
      <c r="AJ293" s="43">
        <v>0</v>
      </c>
    </row>
    <row r="294" spans="1:36">
      <c r="A294" t="s">
        <v>112</v>
      </c>
      <c r="B294" t="s">
        <v>314</v>
      </c>
      <c r="C294" s="3" t="s">
        <v>111</v>
      </c>
      <c r="D294" s="3" t="s">
        <v>37</v>
      </c>
      <c r="E294" s="44">
        <v>92000</v>
      </c>
      <c r="F294" s="44">
        <v>92000</v>
      </c>
      <c r="G294" s="44">
        <v>92000</v>
      </c>
      <c r="H294" s="44">
        <v>92000</v>
      </c>
      <c r="I294" s="45">
        <v>102.28</v>
      </c>
      <c r="J294" s="45">
        <v>102.28</v>
      </c>
      <c r="K294" s="45">
        <v>100.98</v>
      </c>
      <c r="L294" s="45">
        <v>100.98</v>
      </c>
      <c r="M294" s="43">
        <v>250</v>
      </c>
      <c r="N294" s="43">
        <v>250</v>
      </c>
      <c r="O294" s="43">
        <v>250</v>
      </c>
      <c r="P294" s="43">
        <v>250</v>
      </c>
      <c r="Q294" s="43">
        <v>115</v>
      </c>
      <c r="R294" s="43">
        <v>115</v>
      </c>
      <c r="S294" s="43">
        <v>115</v>
      </c>
      <c r="T294" s="43">
        <v>115</v>
      </c>
      <c r="U294" s="43">
        <v>115</v>
      </c>
      <c r="V294" s="43">
        <v>115</v>
      </c>
      <c r="W294" s="43">
        <v>115</v>
      </c>
      <c r="X294" s="43">
        <v>115</v>
      </c>
      <c r="Y294" s="43">
        <v>250</v>
      </c>
      <c r="Z294" s="43">
        <v>250</v>
      </c>
      <c r="AA294" s="43">
        <v>250</v>
      </c>
      <c r="AB294" s="43">
        <v>250</v>
      </c>
      <c r="AC294" s="43">
        <v>2</v>
      </c>
      <c r="AD294" s="43">
        <v>4</v>
      </c>
      <c r="AE294" s="43">
        <v>8</v>
      </c>
      <c r="AF294" s="43">
        <v>8</v>
      </c>
      <c r="AG294" s="43">
        <v>0</v>
      </c>
      <c r="AH294" s="43">
        <v>0</v>
      </c>
      <c r="AI294" s="43">
        <v>0</v>
      </c>
      <c r="AJ294" s="43">
        <v>0</v>
      </c>
    </row>
    <row r="295" spans="1:36">
      <c r="A295" t="s">
        <v>112</v>
      </c>
      <c r="B295" t="s">
        <v>314</v>
      </c>
      <c r="C295" s="3" t="s">
        <v>111</v>
      </c>
      <c r="D295" s="3" t="s">
        <v>37</v>
      </c>
      <c r="E295" s="44">
        <v>93000</v>
      </c>
      <c r="F295" s="44">
        <v>93000</v>
      </c>
      <c r="G295" s="44">
        <v>93000</v>
      </c>
      <c r="H295" s="44">
        <v>93000</v>
      </c>
      <c r="I295" s="45">
        <v>102.26</v>
      </c>
      <c r="J295" s="45">
        <v>102.26</v>
      </c>
      <c r="K295" s="45">
        <v>100.97</v>
      </c>
      <c r="L295" s="45">
        <v>100.97</v>
      </c>
      <c r="M295" s="43">
        <v>250</v>
      </c>
      <c r="N295" s="43">
        <v>250</v>
      </c>
      <c r="O295" s="43">
        <v>250</v>
      </c>
      <c r="P295" s="43">
        <v>250</v>
      </c>
      <c r="Q295" s="43">
        <v>115</v>
      </c>
      <c r="R295" s="43">
        <v>115</v>
      </c>
      <c r="S295" s="43">
        <v>115</v>
      </c>
      <c r="T295" s="43">
        <v>115</v>
      </c>
      <c r="U295" s="43">
        <v>115</v>
      </c>
      <c r="V295" s="43">
        <v>115</v>
      </c>
      <c r="W295" s="43">
        <v>115</v>
      </c>
      <c r="X295" s="43">
        <v>115</v>
      </c>
      <c r="Y295" s="43">
        <v>250</v>
      </c>
      <c r="Z295" s="43">
        <v>250</v>
      </c>
      <c r="AA295" s="43">
        <v>250</v>
      </c>
      <c r="AB295" s="43">
        <v>250</v>
      </c>
      <c r="AC295" s="43">
        <v>2</v>
      </c>
      <c r="AD295" s="43">
        <v>4</v>
      </c>
      <c r="AE295" s="43">
        <v>8</v>
      </c>
      <c r="AF295" s="43">
        <v>8</v>
      </c>
      <c r="AG295" s="43">
        <v>0</v>
      </c>
      <c r="AH295" s="43">
        <v>0</v>
      </c>
      <c r="AI295" s="43">
        <v>0</v>
      </c>
      <c r="AJ295" s="43">
        <v>0</v>
      </c>
    </row>
    <row r="296" spans="1:36">
      <c r="A296" t="s">
        <v>112</v>
      </c>
      <c r="B296" t="s">
        <v>314</v>
      </c>
      <c r="C296" s="3" t="s">
        <v>111</v>
      </c>
      <c r="D296" s="3" t="s">
        <v>37</v>
      </c>
      <c r="E296" s="44">
        <v>94000</v>
      </c>
      <c r="F296" s="44">
        <v>94000</v>
      </c>
      <c r="G296" s="44">
        <v>94000</v>
      </c>
      <c r="H296" s="44">
        <v>94000</v>
      </c>
      <c r="I296" s="45">
        <v>102.23</v>
      </c>
      <c r="J296" s="45">
        <v>102.23</v>
      </c>
      <c r="K296" s="45">
        <v>100.96</v>
      </c>
      <c r="L296" s="45">
        <v>100.96</v>
      </c>
      <c r="M296" s="43">
        <v>250</v>
      </c>
      <c r="N296" s="43">
        <v>250</v>
      </c>
      <c r="O296" s="43">
        <v>250</v>
      </c>
      <c r="P296" s="43">
        <v>250</v>
      </c>
      <c r="Q296" s="43">
        <v>115</v>
      </c>
      <c r="R296" s="43">
        <v>115</v>
      </c>
      <c r="S296" s="43">
        <v>115</v>
      </c>
      <c r="T296" s="43">
        <v>115</v>
      </c>
      <c r="U296" s="43">
        <v>115</v>
      </c>
      <c r="V296" s="43">
        <v>115</v>
      </c>
      <c r="W296" s="43">
        <v>115</v>
      </c>
      <c r="X296" s="43">
        <v>115</v>
      </c>
      <c r="Y296" s="43">
        <v>250</v>
      </c>
      <c r="Z296" s="43">
        <v>250</v>
      </c>
      <c r="AA296" s="43">
        <v>250</v>
      </c>
      <c r="AB296" s="43">
        <v>250</v>
      </c>
      <c r="AC296" s="43">
        <v>2</v>
      </c>
      <c r="AD296" s="43">
        <v>4</v>
      </c>
      <c r="AE296" s="43">
        <v>8</v>
      </c>
      <c r="AF296" s="43">
        <v>8</v>
      </c>
      <c r="AG296" s="43">
        <v>0</v>
      </c>
      <c r="AH296" s="43">
        <v>0</v>
      </c>
      <c r="AI296" s="43">
        <v>0</v>
      </c>
      <c r="AJ296" s="43">
        <v>0</v>
      </c>
    </row>
    <row r="297" spans="1:36">
      <c r="A297" t="s">
        <v>112</v>
      </c>
      <c r="B297" t="s">
        <v>314</v>
      </c>
      <c r="C297" s="3" t="s">
        <v>111</v>
      </c>
      <c r="D297" s="3" t="s">
        <v>37</v>
      </c>
      <c r="E297" s="44">
        <v>95000</v>
      </c>
      <c r="F297" s="44">
        <v>95000</v>
      </c>
      <c r="G297" s="44">
        <v>95000</v>
      </c>
      <c r="H297" s="44">
        <v>95000</v>
      </c>
      <c r="I297" s="45">
        <v>102.21</v>
      </c>
      <c r="J297" s="45">
        <v>102.21</v>
      </c>
      <c r="K297" s="45">
        <v>100.95</v>
      </c>
      <c r="L297" s="45">
        <v>100.95</v>
      </c>
      <c r="M297" s="43">
        <v>250</v>
      </c>
      <c r="N297" s="43">
        <v>250</v>
      </c>
      <c r="O297" s="43">
        <v>250</v>
      </c>
      <c r="P297" s="43">
        <v>250</v>
      </c>
      <c r="Q297" s="43">
        <v>115</v>
      </c>
      <c r="R297" s="43">
        <v>115</v>
      </c>
      <c r="S297" s="43">
        <v>115</v>
      </c>
      <c r="T297" s="43">
        <v>115</v>
      </c>
      <c r="U297" s="43">
        <v>115</v>
      </c>
      <c r="V297" s="43">
        <v>115</v>
      </c>
      <c r="W297" s="43">
        <v>115</v>
      </c>
      <c r="X297" s="43">
        <v>115</v>
      </c>
      <c r="Y297" s="43">
        <v>250</v>
      </c>
      <c r="Z297" s="43">
        <v>250</v>
      </c>
      <c r="AA297" s="43">
        <v>250</v>
      </c>
      <c r="AB297" s="43">
        <v>250</v>
      </c>
      <c r="AC297" s="43">
        <v>2</v>
      </c>
      <c r="AD297" s="43">
        <v>4</v>
      </c>
      <c r="AE297" s="43">
        <v>8</v>
      </c>
      <c r="AF297" s="43">
        <v>8</v>
      </c>
      <c r="AG297" s="43">
        <v>0</v>
      </c>
      <c r="AH297" s="43">
        <v>0</v>
      </c>
      <c r="AI297" s="43">
        <v>0</v>
      </c>
      <c r="AJ297" s="43">
        <v>0</v>
      </c>
    </row>
    <row r="298" spans="1:36">
      <c r="A298" t="s">
        <v>112</v>
      </c>
      <c r="B298" t="s">
        <v>314</v>
      </c>
      <c r="C298" s="3" t="s">
        <v>111</v>
      </c>
      <c r="D298" s="3" t="s">
        <v>37</v>
      </c>
      <c r="E298" s="44">
        <v>96000</v>
      </c>
      <c r="F298" s="44">
        <v>96000</v>
      </c>
      <c r="G298" s="44">
        <v>96000</v>
      </c>
      <c r="H298" s="44">
        <v>96000</v>
      </c>
      <c r="I298" s="45">
        <v>102.19</v>
      </c>
      <c r="J298" s="45">
        <v>102.19</v>
      </c>
      <c r="K298" s="45">
        <v>100.94</v>
      </c>
      <c r="L298" s="45">
        <v>100.94</v>
      </c>
      <c r="M298" s="43">
        <v>250</v>
      </c>
      <c r="N298" s="43">
        <v>250</v>
      </c>
      <c r="O298" s="43">
        <v>250</v>
      </c>
      <c r="P298" s="43">
        <v>250</v>
      </c>
      <c r="Q298" s="43">
        <v>115</v>
      </c>
      <c r="R298" s="43">
        <v>115</v>
      </c>
      <c r="S298" s="43">
        <v>115</v>
      </c>
      <c r="T298" s="43">
        <v>115</v>
      </c>
      <c r="U298" s="43">
        <v>115</v>
      </c>
      <c r="V298" s="43">
        <v>115</v>
      </c>
      <c r="W298" s="43">
        <v>115</v>
      </c>
      <c r="X298" s="43">
        <v>115</v>
      </c>
      <c r="Y298" s="43">
        <v>250</v>
      </c>
      <c r="Z298" s="43">
        <v>250</v>
      </c>
      <c r="AA298" s="43">
        <v>250</v>
      </c>
      <c r="AB298" s="43">
        <v>250</v>
      </c>
      <c r="AC298" s="43">
        <v>2</v>
      </c>
      <c r="AD298" s="43">
        <v>4</v>
      </c>
      <c r="AE298" s="43">
        <v>8</v>
      </c>
      <c r="AF298" s="43">
        <v>8</v>
      </c>
      <c r="AG298" s="43">
        <v>0</v>
      </c>
      <c r="AH298" s="43">
        <v>0</v>
      </c>
      <c r="AI298" s="43">
        <v>0</v>
      </c>
      <c r="AJ298" s="43">
        <v>0</v>
      </c>
    </row>
    <row r="299" spans="1:36">
      <c r="A299" t="s">
        <v>112</v>
      </c>
      <c r="B299" t="s">
        <v>314</v>
      </c>
      <c r="C299" s="3" t="s">
        <v>111</v>
      </c>
      <c r="D299" s="3" t="s">
        <v>37</v>
      </c>
      <c r="E299" s="44">
        <v>97000</v>
      </c>
      <c r="F299" s="44">
        <v>97000</v>
      </c>
      <c r="G299" s="44">
        <v>97000</v>
      </c>
      <c r="H299" s="44">
        <v>97000</v>
      </c>
      <c r="I299" s="45">
        <v>102.16</v>
      </c>
      <c r="J299" s="45">
        <v>102.16</v>
      </c>
      <c r="K299" s="45">
        <v>100.93</v>
      </c>
      <c r="L299" s="45">
        <v>100.93</v>
      </c>
      <c r="M299" s="43">
        <v>250</v>
      </c>
      <c r="N299" s="43">
        <v>250</v>
      </c>
      <c r="O299" s="43">
        <v>250</v>
      </c>
      <c r="P299" s="43">
        <v>250</v>
      </c>
      <c r="Q299" s="43">
        <v>115</v>
      </c>
      <c r="R299" s="43">
        <v>115</v>
      </c>
      <c r="S299" s="43">
        <v>115</v>
      </c>
      <c r="T299" s="43">
        <v>115</v>
      </c>
      <c r="U299" s="43">
        <v>115</v>
      </c>
      <c r="V299" s="43">
        <v>115</v>
      </c>
      <c r="W299" s="43">
        <v>115</v>
      </c>
      <c r="X299" s="43">
        <v>115</v>
      </c>
      <c r="Y299" s="43">
        <v>250</v>
      </c>
      <c r="Z299" s="43">
        <v>250</v>
      </c>
      <c r="AA299" s="43">
        <v>250</v>
      </c>
      <c r="AB299" s="43">
        <v>250</v>
      </c>
      <c r="AC299" s="43">
        <v>2</v>
      </c>
      <c r="AD299" s="43">
        <v>4</v>
      </c>
      <c r="AE299" s="43">
        <v>8</v>
      </c>
      <c r="AF299" s="43">
        <v>8</v>
      </c>
      <c r="AG299" s="43">
        <v>0</v>
      </c>
      <c r="AH299" s="43">
        <v>0</v>
      </c>
      <c r="AI299" s="43">
        <v>0</v>
      </c>
      <c r="AJ299" s="43">
        <v>0</v>
      </c>
    </row>
    <row r="300" spans="1:36">
      <c r="A300" t="s">
        <v>112</v>
      </c>
      <c r="B300" t="s">
        <v>314</v>
      </c>
      <c r="C300" s="3" t="s">
        <v>111</v>
      </c>
      <c r="D300" s="3" t="s">
        <v>37</v>
      </c>
      <c r="E300" s="44">
        <v>98000</v>
      </c>
      <c r="F300" s="44">
        <v>98000</v>
      </c>
      <c r="G300" s="44">
        <v>98000</v>
      </c>
      <c r="H300" s="44">
        <v>98000</v>
      </c>
      <c r="I300" s="45">
        <v>102.14</v>
      </c>
      <c r="J300" s="45">
        <v>102.14</v>
      </c>
      <c r="K300" s="45">
        <v>100.92</v>
      </c>
      <c r="L300" s="45">
        <v>100.92</v>
      </c>
      <c r="M300" s="43">
        <v>250</v>
      </c>
      <c r="N300" s="43">
        <v>250</v>
      </c>
      <c r="O300" s="43">
        <v>250</v>
      </c>
      <c r="P300" s="43">
        <v>250</v>
      </c>
      <c r="Q300" s="43">
        <v>115</v>
      </c>
      <c r="R300" s="43">
        <v>115</v>
      </c>
      <c r="S300" s="43">
        <v>115</v>
      </c>
      <c r="T300" s="43">
        <v>115</v>
      </c>
      <c r="U300" s="43">
        <v>115</v>
      </c>
      <c r="V300" s="43">
        <v>115</v>
      </c>
      <c r="W300" s="43">
        <v>115</v>
      </c>
      <c r="X300" s="43">
        <v>115</v>
      </c>
      <c r="Y300" s="43">
        <v>250</v>
      </c>
      <c r="Z300" s="43">
        <v>250</v>
      </c>
      <c r="AA300" s="43">
        <v>250</v>
      </c>
      <c r="AB300" s="43">
        <v>250</v>
      </c>
      <c r="AC300" s="43">
        <v>2</v>
      </c>
      <c r="AD300" s="43">
        <v>4</v>
      </c>
      <c r="AE300" s="43">
        <v>8</v>
      </c>
      <c r="AF300" s="43">
        <v>8</v>
      </c>
      <c r="AG300" s="43">
        <v>0</v>
      </c>
      <c r="AH300" s="43">
        <v>0</v>
      </c>
      <c r="AI300" s="43">
        <v>0</v>
      </c>
      <c r="AJ300" s="43">
        <v>0</v>
      </c>
    </row>
    <row r="301" spans="1:36">
      <c r="A301" t="s">
        <v>112</v>
      </c>
      <c r="B301" t="s">
        <v>314</v>
      </c>
      <c r="C301" s="3" t="s">
        <v>111</v>
      </c>
      <c r="D301" s="3" t="s">
        <v>37</v>
      </c>
      <c r="E301" s="44">
        <v>99000</v>
      </c>
      <c r="F301" s="44">
        <v>99000</v>
      </c>
      <c r="G301" s="44">
        <v>99000</v>
      </c>
      <c r="H301" s="44">
        <v>99000</v>
      </c>
      <c r="I301" s="45">
        <v>102.12</v>
      </c>
      <c r="J301" s="45">
        <v>102.12</v>
      </c>
      <c r="K301" s="45">
        <v>100.91</v>
      </c>
      <c r="L301" s="45">
        <v>100.91</v>
      </c>
      <c r="M301" s="43">
        <v>250</v>
      </c>
      <c r="N301" s="43">
        <v>250</v>
      </c>
      <c r="O301" s="43">
        <v>250</v>
      </c>
      <c r="P301" s="43">
        <v>250</v>
      </c>
      <c r="Q301" s="43">
        <v>115</v>
      </c>
      <c r="R301" s="43">
        <v>115</v>
      </c>
      <c r="S301" s="43">
        <v>115</v>
      </c>
      <c r="T301" s="43">
        <v>115</v>
      </c>
      <c r="U301" s="43">
        <v>115</v>
      </c>
      <c r="V301" s="43">
        <v>115</v>
      </c>
      <c r="W301" s="43">
        <v>115</v>
      </c>
      <c r="X301" s="43">
        <v>115</v>
      </c>
      <c r="Y301" s="43">
        <v>250</v>
      </c>
      <c r="Z301" s="43">
        <v>250</v>
      </c>
      <c r="AA301" s="43">
        <v>250</v>
      </c>
      <c r="AB301" s="43">
        <v>250</v>
      </c>
      <c r="AC301" s="43">
        <v>2</v>
      </c>
      <c r="AD301" s="43">
        <v>4</v>
      </c>
      <c r="AE301" s="43">
        <v>8</v>
      </c>
      <c r="AF301" s="43">
        <v>8</v>
      </c>
      <c r="AG301" s="43">
        <v>0</v>
      </c>
      <c r="AH301" s="43">
        <v>0</v>
      </c>
      <c r="AI301" s="43">
        <v>0</v>
      </c>
      <c r="AJ301" s="43">
        <v>0</v>
      </c>
    </row>
    <row r="302" spans="1:36">
      <c r="A302" t="s">
        <v>112</v>
      </c>
      <c r="B302" t="s">
        <v>314</v>
      </c>
      <c r="C302" s="3" t="s">
        <v>111</v>
      </c>
      <c r="D302" s="3" t="s">
        <v>37</v>
      </c>
      <c r="E302" s="44">
        <v>100000</v>
      </c>
      <c r="F302" s="44">
        <v>100000</v>
      </c>
      <c r="G302" s="44">
        <v>100000</v>
      </c>
      <c r="H302" s="44">
        <v>100000</v>
      </c>
      <c r="I302" s="45">
        <v>102.1</v>
      </c>
      <c r="J302" s="45">
        <v>102.1</v>
      </c>
      <c r="K302" s="45">
        <v>100.9</v>
      </c>
      <c r="L302" s="45">
        <v>100.9</v>
      </c>
      <c r="M302" s="43">
        <v>250</v>
      </c>
      <c r="N302" s="43">
        <v>250</v>
      </c>
      <c r="O302" s="43">
        <v>250</v>
      </c>
      <c r="P302" s="43">
        <v>250</v>
      </c>
      <c r="Q302" s="43">
        <v>115</v>
      </c>
      <c r="R302" s="43">
        <v>115</v>
      </c>
      <c r="S302" s="43">
        <v>115</v>
      </c>
      <c r="T302" s="43">
        <v>115</v>
      </c>
      <c r="U302" s="43">
        <v>115</v>
      </c>
      <c r="V302" s="43">
        <v>115</v>
      </c>
      <c r="W302" s="43">
        <v>115</v>
      </c>
      <c r="X302" s="43">
        <v>115</v>
      </c>
      <c r="Y302" s="43">
        <v>250</v>
      </c>
      <c r="Z302" s="43">
        <v>250</v>
      </c>
      <c r="AA302" s="43">
        <v>250</v>
      </c>
      <c r="AB302" s="43">
        <v>250</v>
      </c>
      <c r="AC302" s="43">
        <v>2</v>
      </c>
      <c r="AD302" s="43">
        <v>4</v>
      </c>
      <c r="AE302" s="43">
        <v>8</v>
      </c>
      <c r="AF302" s="43">
        <v>8</v>
      </c>
      <c r="AG302" s="43">
        <v>0</v>
      </c>
      <c r="AH302" s="43">
        <v>0</v>
      </c>
      <c r="AI302" s="43">
        <v>0</v>
      </c>
      <c r="AJ302" s="43">
        <v>0</v>
      </c>
    </row>
    <row r="303" spans="1:36">
      <c r="A303" t="s">
        <v>112</v>
      </c>
      <c r="B303" t="s">
        <v>868</v>
      </c>
      <c r="C303" s="3" t="s">
        <v>111</v>
      </c>
      <c r="D303" s="3" t="s">
        <v>867</v>
      </c>
      <c r="E303" s="40">
        <v>1000</v>
      </c>
      <c r="F303" s="40">
        <v>1000</v>
      </c>
      <c r="G303" s="40">
        <v>1000</v>
      </c>
      <c r="H303" s="40">
        <v>1000</v>
      </c>
      <c r="I303" s="46">
        <v>110</v>
      </c>
      <c r="J303" s="46">
        <v>110</v>
      </c>
      <c r="K303" s="46">
        <v>150</v>
      </c>
      <c r="L303" s="46">
        <v>150</v>
      </c>
      <c r="M303" s="43">
        <v>250</v>
      </c>
      <c r="N303" s="43">
        <v>250</v>
      </c>
      <c r="O303" s="43">
        <v>250</v>
      </c>
      <c r="P303" s="43">
        <v>250</v>
      </c>
      <c r="Q303" s="43">
        <v>115</v>
      </c>
      <c r="R303" s="43">
        <v>115</v>
      </c>
      <c r="S303" s="43">
        <v>115</v>
      </c>
      <c r="T303" s="43">
        <v>115</v>
      </c>
      <c r="U303" s="43">
        <v>115</v>
      </c>
      <c r="V303" s="43">
        <v>115</v>
      </c>
      <c r="W303" s="43">
        <v>115</v>
      </c>
      <c r="X303" s="43">
        <v>115</v>
      </c>
      <c r="Y303" s="43">
        <v>250</v>
      </c>
      <c r="Z303" s="43">
        <v>250</v>
      </c>
      <c r="AA303" s="43">
        <v>250</v>
      </c>
      <c r="AB303" s="43">
        <v>250</v>
      </c>
      <c r="AC303" s="43">
        <v>2</v>
      </c>
      <c r="AD303" s="43">
        <v>4</v>
      </c>
      <c r="AE303" s="43">
        <v>8</v>
      </c>
      <c r="AF303" s="43">
        <v>8</v>
      </c>
      <c r="AG303" s="43">
        <v>0</v>
      </c>
      <c r="AH303" s="43">
        <v>0</v>
      </c>
      <c r="AI303" s="43">
        <v>0</v>
      </c>
      <c r="AJ303" s="43">
        <v>0</v>
      </c>
    </row>
    <row r="304" spans="1:36">
      <c r="A304" t="s">
        <v>112</v>
      </c>
      <c r="B304" t="s">
        <v>868</v>
      </c>
      <c r="C304" s="3" t="s">
        <v>111</v>
      </c>
      <c r="D304" s="3" t="s">
        <v>867</v>
      </c>
      <c r="E304" s="40">
        <v>2000</v>
      </c>
      <c r="F304" s="40">
        <v>2000</v>
      </c>
      <c r="G304" s="40">
        <v>2000</v>
      </c>
      <c r="H304" s="40">
        <v>2000</v>
      </c>
      <c r="I304" s="46">
        <v>100</v>
      </c>
      <c r="J304" s="46">
        <v>100</v>
      </c>
      <c r="K304" s="46">
        <v>125</v>
      </c>
      <c r="L304" s="46">
        <v>125</v>
      </c>
      <c r="M304" s="43">
        <v>250</v>
      </c>
      <c r="N304" s="43">
        <v>250</v>
      </c>
      <c r="O304" s="43">
        <v>250</v>
      </c>
      <c r="P304" s="43">
        <v>250</v>
      </c>
      <c r="Q304" s="43">
        <v>115</v>
      </c>
      <c r="R304" s="43">
        <v>115</v>
      </c>
      <c r="S304" s="43">
        <v>115</v>
      </c>
      <c r="T304" s="43">
        <v>115</v>
      </c>
      <c r="U304" s="43">
        <v>115</v>
      </c>
      <c r="V304" s="43">
        <v>115</v>
      </c>
      <c r="W304" s="43">
        <v>115</v>
      </c>
      <c r="X304" s="43">
        <v>115</v>
      </c>
      <c r="Y304" s="43">
        <v>250</v>
      </c>
      <c r="Z304" s="43">
        <v>250</v>
      </c>
      <c r="AA304" s="43">
        <v>250</v>
      </c>
      <c r="AB304" s="43">
        <v>250</v>
      </c>
      <c r="AC304" s="43">
        <v>2</v>
      </c>
      <c r="AD304" s="43">
        <v>4</v>
      </c>
      <c r="AE304" s="43">
        <v>8</v>
      </c>
      <c r="AF304" s="43">
        <v>8</v>
      </c>
      <c r="AG304" s="43">
        <v>0</v>
      </c>
      <c r="AH304" s="43">
        <v>0</v>
      </c>
      <c r="AI304" s="43">
        <v>0</v>
      </c>
      <c r="AJ304" s="43">
        <v>0</v>
      </c>
    </row>
    <row r="305" spans="1:36">
      <c r="A305" t="s">
        <v>112</v>
      </c>
      <c r="B305" t="s">
        <v>868</v>
      </c>
      <c r="C305" s="3" t="s">
        <v>111</v>
      </c>
      <c r="D305" s="3" t="s">
        <v>867</v>
      </c>
      <c r="E305" s="40">
        <v>3000</v>
      </c>
      <c r="F305" s="40">
        <v>3000</v>
      </c>
      <c r="G305" s="40">
        <v>3000</v>
      </c>
      <c r="H305" s="40">
        <v>3000</v>
      </c>
      <c r="I305" s="46">
        <v>96.67</v>
      </c>
      <c r="J305" s="46">
        <v>96.67</v>
      </c>
      <c r="K305" s="46">
        <v>116.67</v>
      </c>
      <c r="L305" s="46">
        <v>116.67</v>
      </c>
      <c r="M305" s="43">
        <v>250</v>
      </c>
      <c r="N305" s="43">
        <v>250</v>
      </c>
      <c r="O305" s="43">
        <v>250</v>
      </c>
      <c r="P305" s="43">
        <v>250</v>
      </c>
      <c r="Q305" s="43">
        <v>115</v>
      </c>
      <c r="R305" s="43">
        <v>115</v>
      </c>
      <c r="S305" s="43">
        <v>115</v>
      </c>
      <c r="T305" s="43">
        <v>115</v>
      </c>
      <c r="U305" s="43">
        <v>115</v>
      </c>
      <c r="V305" s="43">
        <v>115</v>
      </c>
      <c r="W305" s="43">
        <v>115</v>
      </c>
      <c r="X305" s="43">
        <v>115</v>
      </c>
      <c r="Y305" s="43">
        <v>250</v>
      </c>
      <c r="Z305" s="43">
        <v>250</v>
      </c>
      <c r="AA305" s="43">
        <v>250</v>
      </c>
      <c r="AB305" s="43">
        <v>250</v>
      </c>
      <c r="AC305" s="43">
        <v>2</v>
      </c>
      <c r="AD305" s="43">
        <v>4</v>
      </c>
      <c r="AE305" s="43">
        <v>8</v>
      </c>
      <c r="AF305" s="43">
        <v>8</v>
      </c>
      <c r="AG305" s="43">
        <v>0</v>
      </c>
      <c r="AH305" s="43">
        <v>0</v>
      </c>
      <c r="AI305" s="43">
        <v>0</v>
      </c>
      <c r="AJ305" s="43">
        <v>0</v>
      </c>
    </row>
    <row r="306" spans="1:36">
      <c r="A306" t="s">
        <v>112</v>
      </c>
      <c r="B306" t="s">
        <v>868</v>
      </c>
      <c r="C306" s="3" t="s">
        <v>111</v>
      </c>
      <c r="D306" s="3" t="s">
        <v>867</v>
      </c>
      <c r="E306" s="40">
        <v>4000</v>
      </c>
      <c r="F306" s="40">
        <v>4000</v>
      </c>
      <c r="G306" s="40">
        <v>4000</v>
      </c>
      <c r="H306" s="40">
        <v>4000</v>
      </c>
      <c r="I306" s="46">
        <v>95</v>
      </c>
      <c r="J306" s="46">
        <v>95</v>
      </c>
      <c r="K306" s="46">
        <v>112.5</v>
      </c>
      <c r="L306" s="46">
        <v>112.5</v>
      </c>
      <c r="M306" s="43">
        <v>250</v>
      </c>
      <c r="N306" s="43">
        <v>250</v>
      </c>
      <c r="O306" s="43">
        <v>250</v>
      </c>
      <c r="P306" s="43">
        <v>250</v>
      </c>
      <c r="Q306" s="43">
        <v>115</v>
      </c>
      <c r="R306" s="43">
        <v>115</v>
      </c>
      <c r="S306" s="43">
        <v>115</v>
      </c>
      <c r="T306" s="43">
        <v>115</v>
      </c>
      <c r="U306" s="43">
        <v>115</v>
      </c>
      <c r="V306" s="43">
        <v>115</v>
      </c>
      <c r="W306" s="43">
        <v>115</v>
      </c>
      <c r="X306" s="43">
        <v>115</v>
      </c>
      <c r="Y306" s="43">
        <v>250</v>
      </c>
      <c r="Z306" s="43">
        <v>250</v>
      </c>
      <c r="AA306" s="43">
        <v>250</v>
      </c>
      <c r="AB306" s="43">
        <v>250</v>
      </c>
      <c r="AC306" s="43">
        <v>2</v>
      </c>
      <c r="AD306" s="43">
        <v>4</v>
      </c>
      <c r="AE306" s="43">
        <v>8</v>
      </c>
      <c r="AF306" s="43">
        <v>8</v>
      </c>
      <c r="AG306" s="43">
        <v>0</v>
      </c>
      <c r="AH306" s="43">
        <v>0</v>
      </c>
      <c r="AI306" s="43">
        <v>0</v>
      </c>
      <c r="AJ306" s="43">
        <v>0</v>
      </c>
    </row>
    <row r="307" spans="1:36">
      <c r="A307" t="s">
        <v>112</v>
      </c>
      <c r="B307" t="s">
        <v>868</v>
      </c>
      <c r="C307" s="3" t="s">
        <v>111</v>
      </c>
      <c r="D307" s="3" t="s">
        <v>867</v>
      </c>
      <c r="E307" s="40">
        <v>5000</v>
      </c>
      <c r="F307" s="40">
        <v>5000</v>
      </c>
      <c r="G307" s="40">
        <v>5000</v>
      </c>
      <c r="H307" s="40">
        <v>5000</v>
      </c>
      <c r="I307" s="46">
        <v>94</v>
      </c>
      <c r="J307" s="46">
        <v>94</v>
      </c>
      <c r="K307" s="46">
        <v>110</v>
      </c>
      <c r="L307" s="46">
        <v>110</v>
      </c>
      <c r="M307" s="43">
        <v>250</v>
      </c>
      <c r="N307" s="43">
        <v>250</v>
      </c>
      <c r="O307" s="43">
        <v>250</v>
      </c>
      <c r="P307" s="43">
        <v>250</v>
      </c>
      <c r="Q307" s="43">
        <v>115</v>
      </c>
      <c r="R307" s="43">
        <v>115</v>
      </c>
      <c r="S307" s="43">
        <v>115</v>
      </c>
      <c r="T307" s="43">
        <v>115</v>
      </c>
      <c r="U307" s="43">
        <v>115</v>
      </c>
      <c r="V307" s="43">
        <v>115</v>
      </c>
      <c r="W307" s="43">
        <v>115</v>
      </c>
      <c r="X307" s="43">
        <v>115</v>
      </c>
      <c r="Y307" s="43">
        <v>250</v>
      </c>
      <c r="Z307" s="43">
        <v>250</v>
      </c>
      <c r="AA307" s="43">
        <v>250</v>
      </c>
      <c r="AB307" s="43">
        <v>250</v>
      </c>
      <c r="AC307" s="43">
        <v>2</v>
      </c>
      <c r="AD307" s="43">
        <v>4</v>
      </c>
      <c r="AE307" s="43">
        <v>8</v>
      </c>
      <c r="AF307" s="43">
        <v>8</v>
      </c>
      <c r="AG307" s="43">
        <v>0</v>
      </c>
      <c r="AH307" s="43">
        <v>0</v>
      </c>
      <c r="AI307" s="43">
        <v>0</v>
      </c>
      <c r="AJ307" s="43">
        <v>0</v>
      </c>
    </row>
    <row r="308" spans="1:36">
      <c r="A308" t="s">
        <v>112</v>
      </c>
      <c r="B308" t="s">
        <v>868</v>
      </c>
      <c r="C308" s="3" t="s">
        <v>111</v>
      </c>
      <c r="D308" s="3" t="s">
        <v>867</v>
      </c>
      <c r="E308" s="40">
        <v>6000</v>
      </c>
      <c r="F308" s="40">
        <v>6000</v>
      </c>
      <c r="G308" s="40">
        <v>6000</v>
      </c>
      <c r="H308" s="40">
        <v>6000</v>
      </c>
      <c r="I308" s="46">
        <v>93.33</v>
      </c>
      <c r="J308" s="46">
        <v>93.33</v>
      </c>
      <c r="K308" s="46">
        <v>108.33</v>
      </c>
      <c r="L308" s="46">
        <v>108.33</v>
      </c>
      <c r="M308" s="43">
        <v>250</v>
      </c>
      <c r="N308" s="43">
        <v>250</v>
      </c>
      <c r="O308" s="43">
        <v>250</v>
      </c>
      <c r="P308" s="43">
        <v>250</v>
      </c>
      <c r="Q308" s="43">
        <v>115</v>
      </c>
      <c r="R308" s="43">
        <v>115</v>
      </c>
      <c r="S308" s="43">
        <v>115</v>
      </c>
      <c r="T308" s="43">
        <v>115</v>
      </c>
      <c r="U308" s="43">
        <v>115</v>
      </c>
      <c r="V308" s="43">
        <v>115</v>
      </c>
      <c r="W308" s="43">
        <v>115</v>
      </c>
      <c r="X308" s="43">
        <v>115</v>
      </c>
      <c r="Y308" s="43">
        <v>250</v>
      </c>
      <c r="Z308" s="43">
        <v>250</v>
      </c>
      <c r="AA308" s="43">
        <v>250</v>
      </c>
      <c r="AB308" s="43">
        <v>250</v>
      </c>
      <c r="AC308" s="43">
        <v>2</v>
      </c>
      <c r="AD308" s="43">
        <v>4</v>
      </c>
      <c r="AE308" s="43">
        <v>8</v>
      </c>
      <c r="AF308" s="43">
        <v>8</v>
      </c>
      <c r="AG308" s="43">
        <v>0</v>
      </c>
      <c r="AH308" s="43">
        <v>0</v>
      </c>
      <c r="AI308" s="43">
        <v>0</v>
      </c>
      <c r="AJ308" s="43">
        <v>0</v>
      </c>
    </row>
    <row r="309" spans="1:36">
      <c r="A309" t="s">
        <v>112</v>
      </c>
      <c r="B309" t="s">
        <v>868</v>
      </c>
      <c r="C309" s="3" t="s">
        <v>111</v>
      </c>
      <c r="D309" s="3" t="s">
        <v>867</v>
      </c>
      <c r="E309" s="40">
        <v>7000</v>
      </c>
      <c r="F309" s="40">
        <v>7000</v>
      </c>
      <c r="G309" s="40">
        <v>7000</v>
      </c>
      <c r="H309" s="40">
        <v>7000</v>
      </c>
      <c r="I309" s="46">
        <v>92.86</v>
      </c>
      <c r="J309" s="46">
        <v>92.86</v>
      </c>
      <c r="K309" s="46">
        <v>107.14</v>
      </c>
      <c r="L309" s="46">
        <v>107.14</v>
      </c>
      <c r="M309" s="43">
        <v>250</v>
      </c>
      <c r="N309" s="43">
        <v>250</v>
      </c>
      <c r="O309" s="43">
        <v>250</v>
      </c>
      <c r="P309" s="43">
        <v>250</v>
      </c>
      <c r="Q309" s="43">
        <v>115</v>
      </c>
      <c r="R309" s="43">
        <v>115</v>
      </c>
      <c r="S309" s="43">
        <v>115</v>
      </c>
      <c r="T309" s="43">
        <v>115</v>
      </c>
      <c r="U309" s="43">
        <v>115</v>
      </c>
      <c r="V309" s="43">
        <v>115</v>
      </c>
      <c r="W309" s="43">
        <v>115</v>
      </c>
      <c r="X309" s="43">
        <v>115</v>
      </c>
      <c r="Y309" s="43">
        <v>250</v>
      </c>
      <c r="Z309" s="43">
        <v>250</v>
      </c>
      <c r="AA309" s="43">
        <v>250</v>
      </c>
      <c r="AB309" s="43">
        <v>250</v>
      </c>
      <c r="AC309" s="43">
        <v>2</v>
      </c>
      <c r="AD309" s="43">
        <v>4</v>
      </c>
      <c r="AE309" s="43">
        <v>8</v>
      </c>
      <c r="AF309" s="43">
        <v>8</v>
      </c>
      <c r="AG309" s="43">
        <v>0</v>
      </c>
      <c r="AH309" s="43">
        <v>0</v>
      </c>
      <c r="AI309" s="43">
        <v>0</v>
      </c>
      <c r="AJ309" s="43">
        <v>0</v>
      </c>
    </row>
    <row r="310" spans="1:36">
      <c r="A310" t="s">
        <v>112</v>
      </c>
      <c r="B310" t="s">
        <v>868</v>
      </c>
      <c r="C310" s="3" t="s">
        <v>111</v>
      </c>
      <c r="D310" s="3" t="s">
        <v>867</v>
      </c>
      <c r="E310" s="40">
        <v>8000</v>
      </c>
      <c r="F310" s="40">
        <v>8000</v>
      </c>
      <c r="G310" s="40">
        <v>8000</v>
      </c>
      <c r="H310" s="40">
        <v>8000</v>
      </c>
      <c r="I310" s="46">
        <v>92.5</v>
      </c>
      <c r="J310" s="46">
        <v>92.5</v>
      </c>
      <c r="K310" s="46">
        <v>106.25</v>
      </c>
      <c r="L310" s="46">
        <v>106.25</v>
      </c>
      <c r="M310" s="43">
        <v>250</v>
      </c>
      <c r="N310" s="43">
        <v>250</v>
      </c>
      <c r="O310" s="43">
        <v>250</v>
      </c>
      <c r="P310" s="43">
        <v>250</v>
      </c>
      <c r="Q310" s="43">
        <v>115</v>
      </c>
      <c r="R310" s="43">
        <v>115</v>
      </c>
      <c r="S310" s="43">
        <v>115</v>
      </c>
      <c r="T310" s="43">
        <v>115</v>
      </c>
      <c r="U310" s="43">
        <v>115</v>
      </c>
      <c r="V310" s="43">
        <v>115</v>
      </c>
      <c r="W310" s="43">
        <v>115</v>
      </c>
      <c r="X310" s="43">
        <v>115</v>
      </c>
      <c r="Y310" s="43">
        <v>250</v>
      </c>
      <c r="Z310" s="43">
        <v>250</v>
      </c>
      <c r="AA310" s="43">
        <v>250</v>
      </c>
      <c r="AB310" s="43">
        <v>250</v>
      </c>
      <c r="AC310" s="43">
        <v>2</v>
      </c>
      <c r="AD310" s="43">
        <v>4</v>
      </c>
      <c r="AE310" s="43">
        <v>8</v>
      </c>
      <c r="AF310" s="43">
        <v>8</v>
      </c>
      <c r="AG310" s="43">
        <v>0</v>
      </c>
      <c r="AH310" s="43">
        <v>0</v>
      </c>
      <c r="AI310" s="43">
        <v>0</v>
      </c>
      <c r="AJ310" s="43">
        <v>0</v>
      </c>
    </row>
    <row r="311" spans="1:36">
      <c r="A311" t="s">
        <v>112</v>
      </c>
      <c r="B311" t="s">
        <v>868</v>
      </c>
      <c r="C311" s="3" t="s">
        <v>111</v>
      </c>
      <c r="D311" s="3" t="s">
        <v>867</v>
      </c>
      <c r="E311" s="40">
        <v>9000</v>
      </c>
      <c r="F311" s="40">
        <v>9000</v>
      </c>
      <c r="G311" s="40">
        <v>9000</v>
      </c>
      <c r="H311" s="40">
        <v>9000</v>
      </c>
      <c r="I311" s="46">
        <v>92.22</v>
      </c>
      <c r="J311" s="46">
        <v>92.22</v>
      </c>
      <c r="K311" s="46">
        <v>105.56</v>
      </c>
      <c r="L311" s="46">
        <v>105.56</v>
      </c>
      <c r="M311" s="43">
        <v>250</v>
      </c>
      <c r="N311" s="43">
        <v>250</v>
      </c>
      <c r="O311" s="43">
        <v>250</v>
      </c>
      <c r="P311" s="43">
        <v>250</v>
      </c>
      <c r="Q311" s="43">
        <v>115</v>
      </c>
      <c r="R311" s="43">
        <v>115</v>
      </c>
      <c r="S311" s="43">
        <v>115</v>
      </c>
      <c r="T311" s="43">
        <v>115</v>
      </c>
      <c r="U311" s="43">
        <v>115</v>
      </c>
      <c r="V311" s="43">
        <v>115</v>
      </c>
      <c r="W311" s="43">
        <v>115</v>
      </c>
      <c r="X311" s="43">
        <v>115</v>
      </c>
      <c r="Y311" s="43">
        <v>250</v>
      </c>
      <c r="Z311" s="43">
        <v>250</v>
      </c>
      <c r="AA311" s="43">
        <v>250</v>
      </c>
      <c r="AB311" s="43">
        <v>250</v>
      </c>
      <c r="AC311" s="43">
        <v>2</v>
      </c>
      <c r="AD311" s="43">
        <v>4</v>
      </c>
      <c r="AE311" s="43">
        <v>8</v>
      </c>
      <c r="AF311" s="43">
        <v>8</v>
      </c>
      <c r="AG311" s="43">
        <v>0</v>
      </c>
      <c r="AH311" s="43">
        <v>0</v>
      </c>
      <c r="AI311" s="43">
        <v>0</v>
      </c>
      <c r="AJ311" s="43">
        <v>0</v>
      </c>
    </row>
    <row r="312" spans="1:36">
      <c r="A312" t="s">
        <v>112</v>
      </c>
      <c r="B312" t="s">
        <v>868</v>
      </c>
      <c r="C312" s="3" t="s">
        <v>111</v>
      </c>
      <c r="D312" s="3" t="s">
        <v>867</v>
      </c>
      <c r="E312" s="40">
        <v>10000</v>
      </c>
      <c r="F312" s="40">
        <v>10000</v>
      </c>
      <c r="G312" s="40">
        <v>10000</v>
      </c>
      <c r="H312" s="40">
        <v>10000</v>
      </c>
      <c r="I312" s="46">
        <v>92</v>
      </c>
      <c r="J312" s="46">
        <v>92</v>
      </c>
      <c r="K312" s="46">
        <v>105</v>
      </c>
      <c r="L312" s="46">
        <v>105</v>
      </c>
      <c r="M312" s="43">
        <v>250</v>
      </c>
      <c r="N312" s="43">
        <v>250</v>
      </c>
      <c r="O312" s="43">
        <v>250</v>
      </c>
      <c r="P312" s="43">
        <v>250</v>
      </c>
      <c r="Q312" s="43">
        <v>115</v>
      </c>
      <c r="R312" s="43">
        <v>115</v>
      </c>
      <c r="S312" s="43">
        <v>115</v>
      </c>
      <c r="T312" s="43">
        <v>115</v>
      </c>
      <c r="U312" s="43">
        <v>115</v>
      </c>
      <c r="V312" s="43">
        <v>115</v>
      </c>
      <c r="W312" s="43">
        <v>115</v>
      </c>
      <c r="X312" s="43">
        <v>115</v>
      </c>
      <c r="Y312" s="43">
        <v>250</v>
      </c>
      <c r="Z312" s="43">
        <v>250</v>
      </c>
      <c r="AA312" s="43">
        <v>250</v>
      </c>
      <c r="AB312" s="43">
        <v>250</v>
      </c>
      <c r="AC312" s="43">
        <v>2</v>
      </c>
      <c r="AD312" s="43">
        <v>4</v>
      </c>
      <c r="AE312" s="43">
        <v>8</v>
      </c>
      <c r="AF312" s="43">
        <v>8</v>
      </c>
      <c r="AG312" s="43">
        <v>0</v>
      </c>
      <c r="AH312" s="43">
        <v>0</v>
      </c>
      <c r="AI312" s="43">
        <v>0</v>
      </c>
      <c r="AJ312" s="43">
        <v>0</v>
      </c>
    </row>
    <row r="313" spans="1:36">
      <c r="A313" t="s">
        <v>112</v>
      </c>
      <c r="B313" t="s">
        <v>868</v>
      </c>
      <c r="C313" s="3" t="s">
        <v>111</v>
      </c>
      <c r="D313" s="3" t="s">
        <v>867</v>
      </c>
      <c r="E313" s="40">
        <v>11000</v>
      </c>
      <c r="F313" s="40">
        <v>11000</v>
      </c>
      <c r="G313" s="40">
        <v>11000</v>
      </c>
      <c r="H313" s="40">
        <v>11000</v>
      </c>
      <c r="I313" s="46">
        <v>91.82</v>
      </c>
      <c r="J313" s="46">
        <v>91.82</v>
      </c>
      <c r="K313" s="46">
        <v>104.09</v>
      </c>
      <c r="L313" s="46">
        <v>104.09</v>
      </c>
      <c r="M313" s="43">
        <v>250</v>
      </c>
      <c r="N313" s="43">
        <v>250</v>
      </c>
      <c r="O313" s="43">
        <v>250</v>
      </c>
      <c r="P313" s="43">
        <v>250</v>
      </c>
      <c r="Q313" s="43">
        <v>115</v>
      </c>
      <c r="R313" s="43">
        <v>115</v>
      </c>
      <c r="S313" s="43">
        <v>115</v>
      </c>
      <c r="T313" s="43">
        <v>115</v>
      </c>
      <c r="U313" s="43">
        <v>115</v>
      </c>
      <c r="V313" s="43">
        <v>115</v>
      </c>
      <c r="W313" s="43">
        <v>115</v>
      </c>
      <c r="X313" s="43">
        <v>115</v>
      </c>
      <c r="Y313" s="43">
        <v>250</v>
      </c>
      <c r="Z313" s="43">
        <v>250</v>
      </c>
      <c r="AA313" s="43">
        <v>250</v>
      </c>
      <c r="AB313" s="43">
        <v>250</v>
      </c>
      <c r="AC313" s="43">
        <v>2</v>
      </c>
      <c r="AD313" s="43">
        <v>4</v>
      </c>
      <c r="AE313" s="43">
        <v>8</v>
      </c>
      <c r="AF313" s="43">
        <v>8</v>
      </c>
      <c r="AG313" s="43">
        <v>0</v>
      </c>
      <c r="AH313" s="43">
        <v>0</v>
      </c>
      <c r="AI313" s="43">
        <v>0</v>
      </c>
      <c r="AJ313" s="43">
        <v>0</v>
      </c>
    </row>
    <row r="314" spans="1:36">
      <c r="A314" t="s">
        <v>112</v>
      </c>
      <c r="B314" t="s">
        <v>868</v>
      </c>
      <c r="C314" s="3" t="s">
        <v>111</v>
      </c>
      <c r="D314" s="3" t="s">
        <v>867</v>
      </c>
      <c r="E314" s="40">
        <v>12000</v>
      </c>
      <c r="F314" s="40">
        <v>12000</v>
      </c>
      <c r="G314" s="40">
        <v>12000</v>
      </c>
      <c r="H314" s="40">
        <v>12000</v>
      </c>
      <c r="I314" s="46">
        <v>91.67</v>
      </c>
      <c r="J314" s="46">
        <v>91.67</v>
      </c>
      <c r="K314" s="46">
        <v>103.33</v>
      </c>
      <c r="L314" s="46">
        <v>103.33</v>
      </c>
      <c r="M314" s="43">
        <v>250</v>
      </c>
      <c r="N314" s="43">
        <v>250</v>
      </c>
      <c r="O314" s="43">
        <v>250</v>
      </c>
      <c r="P314" s="43">
        <v>250</v>
      </c>
      <c r="Q314" s="43">
        <v>115</v>
      </c>
      <c r="R314" s="43">
        <v>115</v>
      </c>
      <c r="S314" s="43">
        <v>115</v>
      </c>
      <c r="T314" s="43">
        <v>115</v>
      </c>
      <c r="U314" s="43">
        <v>115</v>
      </c>
      <c r="V314" s="43">
        <v>115</v>
      </c>
      <c r="W314" s="43">
        <v>115</v>
      </c>
      <c r="X314" s="43">
        <v>115</v>
      </c>
      <c r="Y314" s="43">
        <v>250</v>
      </c>
      <c r="Z314" s="43">
        <v>250</v>
      </c>
      <c r="AA314" s="43">
        <v>250</v>
      </c>
      <c r="AB314" s="43">
        <v>250</v>
      </c>
      <c r="AC314" s="43">
        <v>2</v>
      </c>
      <c r="AD314" s="43">
        <v>4</v>
      </c>
      <c r="AE314" s="43">
        <v>8</v>
      </c>
      <c r="AF314" s="43">
        <v>8</v>
      </c>
      <c r="AG314" s="43">
        <v>0</v>
      </c>
      <c r="AH314" s="43">
        <v>0</v>
      </c>
      <c r="AI314" s="43">
        <v>0</v>
      </c>
      <c r="AJ314" s="43">
        <v>0</v>
      </c>
    </row>
    <row r="315" spans="1:36">
      <c r="A315" t="s">
        <v>112</v>
      </c>
      <c r="B315" t="s">
        <v>868</v>
      </c>
      <c r="C315" s="3" t="s">
        <v>111</v>
      </c>
      <c r="D315" s="3" t="s">
        <v>867</v>
      </c>
      <c r="E315" s="40">
        <v>13000</v>
      </c>
      <c r="F315" s="40">
        <v>13000</v>
      </c>
      <c r="G315" s="40">
        <v>13000</v>
      </c>
      <c r="H315" s="40">
        <v>13000</v>
      </c>
      <c r="I315" s="46">
        <v>91.54</v>
      </c>
      <c r="J315" s="46">
        <v>91.54</v>
      </c>
      <c r="K315" s="46">
        <v>102.69</v>
      </c>
      <c r="L315" s="46">
        <v>102.69</v>
      </c>
      <c r="M315" s="43">
        <v>250</v>
      </c>
      <c r="N315" s="43">
        <v>250</v>
      </c>
      <c r="O315" s="43">
        <v>250</v>
      </c>
      <c r="P315" s="43">
        <v>250</v>
      </c>
      <c r="Q315" s="43">
        <v>115</v>
      </c>
      <c r="R315" s="43">
        <v>115</v>
      </c>
      <c r="S315" s="43">
        <v>115</v>
      </c>
      <c r="T315" s="43">
        <v>115</v>
      </c>
      <c r="U315" s="43">
        <v>115</v>
      </c>
      <c r="V315" s="43">
        <v>115</v>
      </c>
      <c r="W315" s="43">
        <v>115</v>
      </c>
      <c r="X315" s="43">
        <v>115</v>
      </c>
      <c r="Y315" s="43">
        <v>250</v>
      </c>
      <c r="Z315" s="43">
        <v>250</v>
      </c>
      <c r="AA315" s="43">
        <v>250</v>
      </c>
      <c r="AB315" s="43">
        <v>250</v>
      </c>
      <c r="AC315" s="43">
        <v>2</v>
      </c>
      <c r="AD315" s="43">
        <v>4</v>
      </c>
      <c r="AE315" s="43">
        <v>8</v>
      </c>
      <c r="AF315" s="43">
        <v>8</v>
      </c>
      <c r="AG315" s="43">
        <v>0</v>
      </c>
      <c r="AH315" s="43">
        <v>0</v>
      </c>
      <c r="AI315" s="43">
        <v>0</v>
      </c>
      <c r="AJ315" s="43">
        <v>0</v>
      </c>
    </row>
    <row r="316" spans="1:36">
      <c r="A316" t="s">
        <v>112</v>
      </c>
      <c r="B316" t="s">
        <v>868</v>
      </c>
      <c r="C316" s="3" t="s">
        <v>111</v>
      </c>
      <c r="D316" s="3" t="s">
        <v>867</v>
      </c>
      <c r="E316" s="40">
        <v>14000</v>
      </c>
      <c r="F316" s="40">
        <v>14000</v>
      </c>
      <c r="G316" s="40">
        <v>14000</v>
      </c>
      <c r="H316" s="40">
        <v>14000</v>
      </c>
      <c r="I316" s="46">
        <v>91.43</v>
      </c>
      <c r="J316" s="46">
        <v>91.43</v>
      </c>
      <c r="K316" s="46">
        <v>102.14</v>
      </c>
      <c r="L316" s="46">
        <v>102.14</v>
      </c>
      <c r="M316" s="43">
        <v>250</v>
      </c>
      <c r="N316" s="43">
        <v>250</v>
      </c>
      <c r="O316" s="43">
        <v>250</v>
      </c>
      <c r="P316" s="43">
        <v>250</v>
      </c>
      <c r="Q316" s="43">
        <v>115</v>
      </c>
      <c r="R316" s="43">
        <v>115</v>
      </c>
      <c r="S316" s="43">
        <v>115</v>
      </c>
      <c r="T316" s="43">
        <v>115</v>
      </c>
      <c r="U316" s="43">
        <v>115</v>
      </c>
      <c r="V316" s="43">
        <v>115</v>
      </c>
      <c r="W316" s="43">
        <v>115</v>
      </c>
      <c r="X316" s="43">
        <v>115</v>
      </c>
      <c r="Y316" s="43">
        <v>250</v>
      </c>
      <c r="Z316" s="43">
        <v>250</v>
      </c>
      <c r="AA316" s="43">
        <v>250</v>
      </c>
      <c r="AB316" s="43">
        <v>250</v>
      </c>
      <c r="AC316" s="43">
        <v>2</v>
      </c>
      <c r="AD316" s="43">
        <v>4</v>
      </c>
      <c r="AE316" s="43">
        <v>8</v>
      </c>
      <c r="AF316" s="43">
        <v>8</v>
      </c>
      <c r="AG316" s="43">
        <v>0</v>
      </c>
      <c r="AH316" s="43">
        <v>0</v>
      </c>
      <c r="AI316" s="43">
        <v>0</v>
      </c>
      <c r="AJ316" s="43">
        <v>0</v>
      </c>
    </row>
    <row r="317" spans="1:36">
      <c r="A317" t="s">
        <v>112</v>
      </c>
      <c r="B317" t="s">
        <v>868</v>
      </c>
      <c r="C317" s="3" t="s">
        <v>111</v>
      </c>
      <c r="D317" s="3" t="s">
        <v>867</v>
      </c>
      <c r="E317" s="40">
        <v>15000</v>
      </c>
      <c r="F317" s="40">
        <v>15000</v>
      </c>
      <c r="G317" s="40">
        <v>15000</v>
      </c>
      <c r="H317" s="40">
        <v>15000</v>
      </c>
      <c r="I317" s="46">
        <v>91.33</v>
      </c>
      <c r="J317" s="46">
        <v>91.33</v>
      </c>
      <c r="K317" s="46">
        <v>101.67</v>
      </c>
      <c r="L317" s="46">
        <v>101.67</v>
      </c>
      <c r="M317" s="43">
        <v>250</v>
      </c>
      <c r="N317" s="43">
        <v>250</v>
      </c>
      <c r="O317" s="43">
        <v>250</v>
      </c>
      <c r="P317" s="43">
        <v>250</v>
      </c>
      <c r="Q317" s="43">
        <v>115</v>
      </c>
      <c r="R317" s="43">
        <v>115</v>
      </c>
      <c r="S317" s="43">
        <v>115</v>
      </c>
      <c r="T317" s="43">
        <v>115</v>
      </c>
      <c r="U317" s="43">
        <v>115</v>
      </c>
      <c r="V317" s="43">
        <v>115</v>
      </c>
      <c r="W317" s="43">
        <v>115</v>
      </c>
      <c r="X317" s="43">
        <v>115</v>
      </c>
      <c r="Y317" s="43">
        <v>250</v>
      </c>
      <c r="Z317" s="43">
        <v>250</v>
      </c>
      <c r="AA317" s="43">
        <v>250</v>
      </c>
      <c r="AB317" s="43">
        <v>250</v>
      </c>
      <c r="AC317" s="43">
        <v>2</v>
      </c>
      <c r="AD317" s="43">
        <v>4</v>
      </c>
      <c r="AE317" s="43">
        <v>8</v>
      </c>
      <c r="AF317" s="43">
        <v>8</v>
      </c>
      <c r="AG317" s="43">
        <v>0</v>
      </c>
      <c r="AH317" s="43">
        <v>0</v>
      </c>
      <c r="AI317" s="43">
        <v>0</v>
      </c>
      <c r="AJ317" s="43">
        <v>0</v>
      </c>
    </row>
    <row r="318" spans="1:36">
      <c r="A318" t="s">
        <v>112</v>
      </c>
      <c r="B318" t="s">
        <v>868</v>
      </c>
      <c r="C318" s="3" t="s">
        <v>111</v>
      </c>
      <c r="D318" s="3" t="s">
        <v>867</v>
      </c>
      <c r="E318" s="40">
        <v>16000</v>
      </c>
      <c r="F318" s="40">
        <v>16000</v>
      </c>
      <c r="G318" s="40">
        <v>16000</v>
      </c>
      <c r="H318" s="40">
        <v>16000</v>
      </c>
      <c r="I318" s="46">
        <v>91.25</v>
      </c>
      <c r="J318" s="46">
        <v>91.25</v>
      </c>
      <c r="K318" s="46">
        <v>101.25</v>
      </c>
      <c r="L318" s="46">
        <v>101.25</v>
      </c>
      <c r="M318" s="43">
        <v>250</v>
      </c>
      <c r="N318" s="43">
        <v>250</v>
      </c>
      <c r="O318" s="43">
        <v>250</v>
      </c>
      <c r="P318" s="43">
        <v>250</v>
      </c>
      <c r="Q318" s="43">
        <v>115</v>
      </c>
      <c r="R318" s="43">
        <v>115</v>
      </c>
      <c r="S318" s="43">
        <v>115</v>
      </c>
      <c r="T318" s="43">
        <v>115</v>
      </c>
      <c r="U318" s="43">
        <v>115</v>
      </c>
      <c r="V318" s="43">
        <v>115</v>
      </c>
      <c r="W318" s="43">
        <v>115</v>
      </c>
      <c r="X318" s="43">
        <v>115</v>
      </c>
      <c r="Y318" s="43">
        <v>250</v>
      </c>
      <c r="Z318" s="43">
        <v>250</v>
      </c>
      <c r="AA318" s="43">
        <v>250</v>
      </c>
      <c r="AB318" s="43">
        <v>250</v>
      </c>
      <c r="AC318" s="43">
        <v>2</v>
      </c>
      <c r="AD318" s="43">
        <v>4</v>
      </c>
      <c r="AE318" s="43">
        <v>8</v>
      </c>
      <c r="AF318" s="43">
        <v>8</v>
      </c>
      <c r="AG318" s="43">
        <v>0</v>
      </c>
      <c r="AH318" s="43">
        <v>0</v>
      </c>
      <c r="AI318" s="43">
        <v>0</v>
      </c>
      <c r="AJ318" s="43">
        <v>0</v>
      </c>
    </row>
    <row r="319" spans="1:36">
      <c r="A319" t="s">
        <v>112</v>
      </c>
      <c r="B319" t="s">
        <v>868</v>
      </c>
      <c r="C319" s="3" t="s">
        <v>111</v>
      </c>
      <c r="D319" s="3" t="s">
        <v>867</v>
      </c>
      <c r="E319" s="40">
        <v>17000</v>
      </c>
      <c r="F319" s="40">
        <v>17000</v>
      </c>
      <c r="G319" s="40">
        <v>17000</v>
      </c>
      <c r="H319" s="40">
        <v>17000</v>
      </c>
      <c r="I319" s="46">
        <v>91.18</v>
      </c>
      <c r="J319" s="46">
        <v>91.18</v>
      </c>
      <c r="K319" s="46">
        <v>100.88</v>
      </c>
      <c r="L319" s="46">
        <v>100.88</v>
      </c>
      <c r="M319" s="43">
        <v>250</v>
      </c>
      <c r="N319" s="43">
        <v>250</v>
      </c>
      <c r="O319" s="43">
        <v>250</v>
      </c>
      <c r="P319" s="43">
        <v>250</v>
      </c>
      <c r="Q319" s="43">
        <v>115</v>
      </c>
      <c r="R319" s="43">
        <v>115</v>
      </c>
      <c r="S319" s="43">
        <v>115</v>
      </c>
      <c r="T319" s="43">
        <v>115</v>
      </c>
      <c r="U319" s="43">
        <v>115</v>
      </c>
      <c r="V319" s="43">
        <v>115</v>
      </c>
      <c r="W319" s="43">
        <v>115</v>
      </c>
      <c r="X319" s="43">
        <v>115</v>
      </c>
      <c r="Y319" s="43">
        <v>250</v>
      </c>
      <c r="Z319" s="43">
        <v>250</v>
      </c>
      <c r="AA319" s="43">
        <v>250</v>
      </c>
      <c r="AB319" s="43">
        <v>250</v>
      </c>
      <c r="AC319" s="43">
        <v>2</v>
      </c>
      <c r="AD319" s="43">
        <v>4</v>
      </c>
      <c r="AE319" s="43">
        <v>8</v>
      </c>
      <c r="AF319" s="43">
        <v>8</v>
      </c>
      <c r="AG319" s="43">
        <v>0</v>
      </c>
      <c r="AH319" s="43">
        <v>0</v>
      </c>
      <c r="AI319" s="43">
        <v>0</v>
      </c>
      <c r="AJ319" s="43">
        <v>0</v>
      </c>
    </row>
    <row r="320" spans="1:36">
      <c r="A320" t="s">
        <v>112</v>
      </c>
      <c r="B320" t="s">
        <v>868</v>
      </c>
      <c r="C320" s="3" t="s">
        <v>111</v>
      </c>
      <c r="D320" s="3" t="s">
        <v>867</v>
      </c>
      <c r="E320" s="40">
        <v>18000</v>
      </c>
      <c r="F320" s="40">
        <v>18000</v>
      </c>
      <c r="G320" s="40">
        <v>18000</v>
      </c>
      <c r="H320" s="40">
        <v>18000</v>
      </c>
      <c r="I320" s="46">
        <v>91.11</v>
      </c>
      <c r="J320" s="46">
        <v>91.11</v>
      </c>
      <c r="K320" s="46">
        <v>100.56</v>
      </c>
      <c r="L320" s="46">
        <v>100.56</v>
      </c>
      <c r="M320" s="43">
        <v>250</v>
      </c>
      <c r="N320" s="43">
        <v>250</v>
      </c>
      <c r="O320" s="43">
        <v>250</v>
      </c>
      <c r="P320" s="43">
        <v>250</v>
      </c>
      <c r="Q320" s="43">
        <v>115</v>
      </c>
      <c r="R320" s="43">
        <v>115</v>
      </c>
      <c r="S320" s="43">
        <v>115</v>
      </c>
      <c r="T320" s="43">
        <v>115</v>
      </c>
      <c r="U320" s="43">
        <v>115</v>
      </c>
      <c r="V320" s="43">
        <v>115</v>
      </c>
      <c r="W320" s="43">
        <v>115</v>
      </c>
      <c r="X320" s="43">
        <v>115</v>
      </c>
      <c r="Y320" s="43">
        <v>250</v>
      </c>
      <c r="Z320" s="43">
        <v>250</v>
      </c>
      <c r="AA320" s="43">
        <v>250</v>
      </c>
      <c r="AB320" s="43">
        <v>250</v>
      </c>
      <c r="AC320" s="43">
        <v>2</v>
      </c>
      <c r="AD320" s="43">
        <v>4</v>
      </c>
      <c r="AE320" s="43">
        <v>8</v>
      </c>
      <c r="AF320" s="43">
        <v>8</v>
      </c>
      <c r="AG320" s="43">
        <v>0</v>
      </c>
      <c r="AH320" s="43">
        <v>0</v>
      </c>
      <c r="AI320" s="43">
        <v>0</v>
      </c>
      <c r="AJ320" s="43">
        <v>0</v>
      </c>
    </row>
    <row r="321" spans="1:36">
      <c r="A321" t="s">
        <v>112</v>
      </c>
      <c r="B321" t="s">
        <v>868</v>
      </c>
      <c r="C321" s="3" t="s">
        <v>111</v>
      </c>
      <c r="D321" s="3" t="s">
        <v>867</v>
      </c>
      <c r="E321" s="40">
        <v>19000</v>
      </c>
      <c r="F321" s="40">
        <v>19000</v>
      </c>
      <c r="G321" s="40">
        <v>19000</v>
      </c>
      <c r="H321" s="40">
        <v>19000</v>
      </c>
      <c r="I321" s="46">
        <v>91.05</v>
      </c>
      <c r="J321" s="46">
        <v>91.05</v>
      </c>
      <c r="K321" s="46">
        <v>100.26</v>
      </c>
      <c r="L321" s="46">
        <v>100.26</v>
      </c>
      <c r="M321" s="43">
        <v>250</v>
      </c>
      <c r="N321" s="43">
        <v>250</v>
      </c>
      <c r="O321" s="43">
        <v>250</v>
      </c>
      <c r="P321" s="43">
        <v>250</v>
      </c>
      <c r="Q321" s="43">
        <v>115</v>
      </c>
      <c r="R321" s="43">
        <v>115</v>
      </c>
      <c r="S321" s="43">
        <v>115</v>
      </c>
      <c r="T321" s="43">
        <v>115</v>
      </c>
      <c r="U321" s="43">
        <v>115</v>
      </c>
      <c r="V321" s="43">
        <v>115</v>
      </c>
      <c r="W321" s="43">
        <v>115</v>
      </c>
      <c r="X321" s="43">
        <v>115</v>
      </c>
      <c r="Y321" s="43">
        <v>250</v>
      </c>
      <c r="Z321" s="43">
        <v>250</v>
      </c>
      <c r="AA321" s="43">
        <v>250</v>
      </c>
      <c r="AB321" s="43">
        <v>250</v>
      </c>
      <c r="AC321" s="43">
        <v>2</v>
      </c>
      <c r="AD321" s="43">
        <v>4</v>
      </c>
      <c r="AE321" s="43">
        <v>8</v>
      </c>
      <c r="AF321" s="43">
        <v>8</v>
      </c>
      <c r="AG321" s="43">
        <v>0</v>
      </c>
      <c r="AH321" s="43">
        <v>0</v>
      </c>
      <c r="AI321" s="43">
        <v>0</v>
      </c>
      <c r="AJ321" s="43">
        <v>0</v>
      </c>
    </row>
    <row r="322" spans="1:36">
      <c r="A322" t="s">
        <v>112</v>
      </c>
      <c r="B322" t="s">
        <v>868</v>
      </c>
      <c r="C322" s="3" t="s">
        <v>111</v>
      </c>
      <c r="D322" s="3" t="s">
        <v>867</v>
      </c>
      <c r="E322" s="40">
        <v>20000</v>
      </c>
      <c r="F322" s="40">
        <v>20000</v>
      </c>
      <c r="G322" s="40">
        <v>20000</v>
      </c>
      <c r="H322" s="40">
        <v>20000</v>
      </c>
      <c r="I322" s="46">
        <v>91</v>
      </c>
      <c r="J322" s="46">
        <v>91</v>
      </c>
      <c r="K322" s="46">
        <v>100</v>
      </c>
      <c r="L322" s="46">
        <v>100</v>
      </c>
      <c r="M322" s="43">
        <v>250</v>
      </c>
      <c r="N322" s="43">
        <v>250</v>
      </c>
      <c r="O322" s="43">
        <v>250</v>
      </c>
      <c r="P322" s="43">
        <v>250</v>
      </c>
      <c r="Q322" s="43">
        <v>115</v>
      </c>
      <c r="R322" s="43">
        <v>115</v>
      </c>
      <c r="S322" s="43">
        <v>115</v>
      </c>
      <c r="T322" s="43">
        <v>115</v>
      </c>
      <c r="U322" s="43">
        <v>115</v>
      </c>
      <c r="V322" s="43">
        <v>115</v>
      </c>
      <c r="W322" s="43">
        <v>115</v>
      </c>
      <c r="X322" s="43">
        <v>115</v>
      </c>
      <c r="Y322" s="43">
        <v>250</v>
      </c>
      <c r="Z322" s="43">
        <v>250</v>
      </c>
      <c r="AA322" s="43">
        <v>250</v>
      </c>
      <c r="AB322" s="43">
        <v>250</v>
      </c>
      <c r="AC322" s="43">
        <v>2</v>
      </c>
      <c r="AD322" s="43">
        <v>4</v>
      </c>
      <c r="AE322" s="43">
        <v>8</v>
      </c>
      <c r="AF322" s="43">
        <v>8</v>
      </c>
      <c r="AG322" s="43">
        <v>0</v>
      </c>
      <c r="AH322" s="43">
        <v>0</v>
      </c>
      <c r="AI322" s="43">
        <v>0</v>
      </c>
      <c r="AJ322" s="43">
        <v>0</v>
      </c>
    </row>
    <row r="323" spans="1:36">
      <c r="A323" t="s">
        <v>112</v>
      </c>
      <c r="B323" t="s">
        <v>868</v>
      </c>
      <c r="C323" s="3" t="s">
        <v>111</v>
      </c>
      <c r="D323" s="3" t="s">
        <v>867</v>
      </c>
      <c r="E323" s="40">
        <v>21000</v>
      </c>
      <c r="F323" s="40">
        <v>21000</v>
      </c>
      <c r="G323" s="40">
        <v>21000</v>
      </c>
      <c r="H323" s="40">
        <v>21000</v>
      </c>
      <c r="I323" s="46">
        <v>90.95</v>
      </c>
      <c r="J323" s="46">
        <v>90.95</v>
      </c>
      <c r="K323" s="46">
        <v>99.76</v>
      </c>
      <c r="L323" s="46">
        <v>99.76</v>
      </c>
      <c r="M323" s="43">
        <v>250</v>
      </c>
      <c r="N323" s="43">
        <v>250</v>
      </c>
      <c r="O323" s="43">
        <v>250</v>
      </c>
      <c r="P323" s="43">
        <v>250</v>
      </c>
      <c r="Q323" s="43">
        <v>115</v>
      </c>
      <c r="R323" s="43">
        <v>115</v>
      </c>
      <c r="S323" s="43">
        <v>115</v>
      </c>
      <c r="T323" s="43">
        <v>115</v>
      </c>
      <c r="U323" s="43">
        <v>115</v>
      </c>
      <c r="V323" s="43">
        <v>115</v>
      </c>
      <c r="W323" s="43">
        <v>115</v>
      </c>
      <c r="X323" s="43">
        <v>115</v>
      </c>
      <c r="Y323" s="43">
        <v>250</v>
      </c>
      <c r="Z323" s="43">
        <v>250</v>
      </c>
      <c r="AA323" s="43">
        <v>250</v>
      </c>
      <c r="AB323" s="43">
        <v>250</v>
      </c>
      <c r="AC323" s="43">
        <v>2</v>
      </c>
      <c r="AD323" s="43">
        <v>4</v>
      </c>
      <c r="AE323" s="43">
        <v>8</v>
      </c>
      <c r="AF323" s="43">
        <v>8</v>
      </c>
      <c r="AG323" s="43">
        <v>0</v>
      </c>
      <c r="AH323" s="43">
        <v>0</v>
      </c>
      <c r="AI323" s="43">
        <v>0</v>
      </c>
      <c r="AJ323" s="43">
        <v>0</v>
      </c>
    </row>
    <row r="324" spans="1:36">
      <c r="A324" t="s">
        <v>112</v>
      </c>
      <c r="B324" t="s">
        <v>868</v>
      </c>
      <c r="C324" s="3" t="s">
        <v>111</v>
      </c>
      <c r="D324" s="3" t="s">
        <v>867</v>
      </c>
      <c r="E324" s="40">
        <v>22000</v>
      </c>
      <c r="F324" s="40">
        <v>22000</v>
      </c>
      <c r="G324" s="40">
        <v>22000</v>
      </c>
      <c r="H324" s="40">
        <v>22000</v>
      </c>
      <c r="I324" s="46">
        <v>90.91</v>
      </c>
      <c r="J324" s="46">
        <v>90.91</v>
      </c>
      <c r="K324" s="46">
        <v>99.55</v>
      </c>
      <c r="L324" s="46">
        <v>99.55</v>
      </c>
      <c r="M324" s="43">
        <v>250</v>
      </c>
      <c r="N324" s="43">
        <v>250</v>
      </c>
      <c r="O324" s="43">
        <v>250</v>
      </c>
      <c r="P324" s="43">
        <v>250</v>
      </c>
      <c r="Q324" s="43">
        <v>115</v>
      </c>
      <c r="R324" s="43">
        <v>115</v>
      </c>
      <c r="S324" s="43">
        <v>115</v>
      </c>
      <c r="T324" s="43">
        <v>115</v>
      </c>
      <c r="U324" s="43">
        <v>115</v>
      </c>
      <c r="V324" s="43">
        <v>115</v>
      </c>
      <c r="W324" s="43">
        <v>115</v>
      </c>
      <c r="X324" s="43">
        <v>115</v>
      </c>
      <c r="Y324" s="43">
        <v>250</v>
      </c>
      <c r="Z324" s="43">
        <v>250</v>
      </c>
      <c r="AA324" s="43">
        <v>250</v>
      </c>
      <c r="AB324" s="43">
        <v>250</v>
      </c>
      <c r="AC324" s="43">
        <v>2</v>
      </c>
      <c r="AD324" s="43">
        <v>4</v>
      </c>
      <c r="AE324" s="43">
        <v>8</v>
      </c>
      <c r="AF324" s="43">
        <v>8</v>
      </c>
      <c r="AG324" s="43">
        <v>0</v>
      </c>
      <c r="AH324" s="43">
        <v>0</v>
      </c>
      <c r="AI324" s="43">
        <v>0</v>
      </c>
      <c r="AJ324" s="43">
        <v>0</v>
      </c>
    </row>
    <row r="325" spans="1:36">
      <c r="A325" t="s">
        <v>112</v>
      </c>
      <c r="B325" t="s">
        <v>868</v>
      </c>
      <c r="C325" s="3" t="s">
        <v>111</v>
      </c>
      <c r="D325" s="3" t="s">
        <v>867</v>
      </c>
      <c r="E325" s="40">
        <v>23000</v>
      </c>
      <c r="F325" s="40">
        <v>23000</v>
      </c>
      <c r="G325" s="40">
        <v>23000</v>
      </c>
      <c r="H325" s="40">
        <v>23000</v>
      </c>
      <c r="I325" s="46">
        <v>90.87</v>
      </c>
      <c r="J325" s="46">
        <v>90.87</v>
      </c>
      <c r="K325" s="46">
        <v>99.35</v>
      </c>
      <c r="L325" s="46">
        <v>99.35</v>
      </c>
      <c r="M325" s="43">
        <v>250</v>
      </c>
      <c r="N325" s="43">
        <v>250</v>
      </c>
      <c r="O325" s="43">
        <v>250</v>
      </c>
      <c r="P325" s="43">
        <v>250</v>
      </c>
      <c r="Q325" s="43">
        <v>115</v>
      </c>
      <c r="R325" s="43">
        <v>115</v>
      </c>
      <c r="S325" s="43">
        <v>115</v>
      </c>
      <c r="T325" s="43">
        <v>115</v>
      </c>
      <c r="U325" s="43">
        <v>115</v>
      </c>
      <c r="V325" s="43">
        <v>115</v>
      </c>
      <c r="W325" s="43">
        <v>115</v>
      </c>
      <c r="X325" s="43">
        <v>115</v>
      </c>
      <c r="Y325" s="43">
        <v>250</v>
      </c>
      <c r="Z325" s="43">
        <v>250</v>
      </c>
      <c r="AA325" s="43">
        <v>250</v>
      </c>
      <c r="AB325" s="43">
        <v>250</v>
      </c>
      <c r="AC325" s="43">
        <v>2</v>
      </c>
      <c r="AD325" s="43">
        <v>4</v>
      </c>
      <c r="AE325" s="43">
        <v>8</v>
      </c>
      <c r="AF325" s="43">
        <v>8</v>
      </c>
      <c r="AG325" s="43">
        <v>0</v>
      </c>
      <c r="AH325" s="43">
        <v>0</v>
      </c>
      <c r="AI325" s="43">
        <v>0</v>
      </c>
      <c r="AJ325" s="43">
        <v>0</v>
      </c>
    </row>
    <row r="326" spans="1:36">
      <c r="A326" t="s">
        <v>112</v>
      </c>
      <c r="B326" t="s">
        <v>868</v>
      </c>
      <c r="C326" s="3" t="s">
        <v>111</v>
      </c>
      <c r="D326" s="3" t="s">
        <v>867</v>
      </c>
      <c r="E326" s="40">
        <v>24000</v>
      </c>
      <c r="F326" s="40">
        <v>24000</v>
      </c>
      <c r="G326" s="40">
        <v>24000</v>
      </c>
      <c r="H326" s="40">
        <v>24000</v>
      </c>
      <c r="I326" s="46">
        <v>90.83</v>
      </c>
      <c r="J326" s="46">
        <v>90.83</v>
      </c>
      <c r="K326" s="46">
        <v>99.17</v>
      </c>
      <c r="L326" s="46">
        <v>99.17</v>
      </c>
      <c r="M326" s="43">
        <v>250</v>
      </c>
      <c r="N326" s="43">
        <v>250</v>
      </c>
      <c r="O326" s="43">
        <v>250</v>
      </c>
      <c r="P326" s="43">
        <v>250</v>
      </c>
      <c r="Q326" s="43">
        <v>115</v>
      </c>
      <c r="R326" s="43">
        <v>115</v>
      </c>
      <c r="S326" s="43">
        <v>115</v>
      </c>
      <c r="T326" s="43">
        <v>115</v>
      </c>
      <c r="U326" s="43">
        <v>115</v>
      </c>
      <c r="V326" s="43">
        <v>115</v>
      </c>
      <c r="W326" s="43">
        <v>115</v>
      </c>
      <c r="X326" s="43">
        <v>115</v>
      </c>
      <c r="Y326" s="43">
        <v>250</v>
      </c>
      <c r="Z326" s="43">
        <v>250</v>
      </c>
      <c r="AA326" s="43">
        <v>250</v>
      </c>
      <c r="AB326" s="43">
        <v>250</v>
      </c>
      <c r="AC326" s="43">
        <v>2</v>
      </c>
      <c r="AD326" s="43">
        <v>4</v>
      </c>
      <c r="AE326" s="43">
        <v>8</v>
      </c>
      <c r="AF326" s="43">
        <v>8</v>
      </c>
      <c r="AG326" s="43">
        <v>0</v>
      </c>
      <c r="AH326" s="43">
        <v>0</v>
      </c>
      <c r="AI326" s="43">
        <v>0</v>
      </c>
      <c r="AJ326" s="43">
        <v>0</v>
      </c>
    </row>
    <row r="327" spans="1:36">
      <c r="A327" t="s">
        <v>112</v>
      </c>
      <c r="B327" t="s">
        <v>868</v>
      </c>
      <c r="C327" s="3" t="s">
        <v>111</v>
      </c>
      <c r="D327" s="3" t="s">
        <v>867</v>
      </c>
      <c r="E327" s="40">
        <v>25000</v>
      </c>
      <c r="F327" s="40">
        <v>25000</v>
      </c>
      <c r="G327" s="40">
        <v>25000</v>
      </c>
      <c r="H327" s="40">
        <v>25000</v>
      </c>
      <c r="I327" s="46">
        <v>90.8</v>
      </c>
      <c r="J327" s="46">
        <v>90.8</v>
      </c>
      <c r="K327" s="46">
        <v>99</v>
      </c>
      <c r="L327" s="46">
        <v>99</v>
      </c>
      <c r="M327" s="43">
        <v>250</v>
      </c>
      <c r="N327" s="43">
        <v>250</v>
      </c>
      <c r="O327" s="43">
        <v>250</v>
      </c>
      <c r="P327" s="43">
        <v>250</v>
      </c>
      <c r="Q327" s="43">
        <v>115</v>
      </c>
      <c r="R327" s="43">
        <v>115</v>
      </c>
      <c r="S327" s="43">
        <v>115</v>
      </c>
      <c r="T327" s="43">
        <v>115</v>
      </c>
      <c r="U327" s="43">
        <v>115</v>
      </c>
      <c r="V327" s="43">
        <v>115</v>
      </c>
      <c r="W327" s="43">
        <v>115</v>
      </c>
      <c r="X327" s="43">
        <v>115</v>
      </c>
      <c r="Y327" s="43">
        <v>250</v>
      </c>
      <c r="Z327" s="43">
        <v>250</v>
      </c>
      <c r="AA327" s="43">
        <v>250</v>
      </c>
      <c r="AB327" s="43">
        <v>250</v>
      </c>
      <c r="AC327" s="43">
        <v>2</v>
      </c>
      <c r="AD327" s="43">
        <v>4</v>
      </c>
      <c r="AE327" s="43">
        <v>8</v>
      </c>
      <c r="AF327" s="43">
        <v>8</v>
      </c>
      <c r="AG327" s="43">
        <v>0</v>
      </c>
      <c r="AH327" s="43">
        <v>0</v>
      </c>
      <c r="AI327" s="43">
        <v>0</v>
      </c>
      <c r="AJ327" s="43">
        <v>0</v>
      </c>
    </row>
    <row r="328" spans="1:36">
      <c r="A328" t="s">
        <v>112</v>
      </c>
      <c r="B328" t="s">
        <v>868</v>
      </c>
      <c r="C328" s="3" t="s">
        <v>111</v>
      </c>
      <c r="D328" s="3" t="s">
        <v>867</v>
      </c>
      <c r="E328" s="40">
        <v>26000</v>
      </c>
      <c r="F328" s="40">
        <v>26000</v>
      </c>
      <c r="G328" s="40">
        <v>26000</v>
      </c>
      <c r="H328" s="40">
        <v>26000</v>
      </c>
      <c r="I328" s="46">
        <v>90.77</v>
      </c>
      <c r="J328" s="46">
        <v>90.77</v>
      </c>
      <c r="K328" s="46">
        <v>98.85</v>
      </c>
      <c r="L328" s="46">
        <v>98.85</v>
      </c>
      <c r="M328" s="43">
        <v>250</v>
      </c>
      <c r="N328" s="43">
        <v>250</v>
      </c>
      <c r="O328" s="43">
        <v>250</v>
      </c>
      <c r="P328" s="43">
        <v>250</v>
      </c>
      <c r="Q328" s="43">
        <v>115</v>
      </c>
      <c r="R328" s="43">
        <v>115</v>
      </c>
      <c r="S328" s="43">
        <v>115</v>
      </c>
      <c r="T328" s="43">
        <v>115</v>
      </c>
      <c r="U328" s="43">
        <v>115</v>
      </c>
      <c r="V328" s="43">
        <v>115</v>
      </c>
      <c r="W328" s="43">
        <v>115</v>
      </c>
      <c r="X328" s="43">
        <v>115</v>
      </c>
      <c r="Y328" s="43">
        <v>250</v>
      </c>
      <c r="Z328" s="43">
        <v>250</v>
      </c>
      <c r="AA328" s="43">
        <v>250</v>
      </c>
      <c r="AB328" s="43">
        <v>250</v>
      </c>
      <c r="AC328" s="43">
        <v>2</v>
      </c>
      <c r="AD328" s="43">
        <v>4</v>
      </c>
      <c r="AE328" s="43">
        <v>8</v>
      </c>
      <c r="AF328" s="43">
        <v>8</v>
      </c>
      <c r="AG328" s="43">
        <v>0</v>
      </c>
      <c r="AH328" s="43">
        <v>0</v>
      </c>
      <c r="AI328" s="43">
        <v>0</v>
      </c>
      <c r="AJ328" s="43">
        <v>0</v>
      </c>
    </row>
    <row r="329" spans="1:36">
      <c r="A329" t="s">
        <v>112</v>
      </c>
      <c r="B329" t="s">
        <v>868</v>
      </c>
      <c r="C329" s="3" t="s">
        <v>111</v>
      </c>
      <c r="D329" s="3" t="s">
        <v>867</v>
      </c>
      <c r="E329" s="40">
        <v>27000</v>
      </c>
      <c r="F329" s="40">
        <v>27000</v>
      </c>
      <c r="G329" s="40">
        <v>27000</v>
      </c>
      <c r="H329" s="40">
        <v>27000</v>
      </c>
      <c r="I329" s="46">
        <v>90.74</v>
      </c>
      <c r="J329" s="46">
        <v>90.74</v>
      </c>
      <c r="K329" s="46">
        <v>98.7</v>
      </c>
      <c r="L329" s="46">
        <v>98.7</v>
      </c>
      <c r="M329" s="43">
        <v>250</v>
      </c>
      <c r="N329" s="43">
        <v>250</v>
      </c>
      <c r="O329" s="43">
        <v>250</v>
      </c>
      <c r="P329" s="43">
        <v>250</v>
      </c>
      <c r="Q329" s="43">
        <v>115</v>
      </c>
      <c r="R329" s="43">
        <v>115</v>
      </c>
      <c r="S329" s="43">
        <v>115</v>
      </c>
      <c r="T329" s="43">
        <v>115</v>
      </c>
      <c r="U329" s="43">
        <v>115</v>
      </c>
      <c r="V329" s="43">
        <v>115</v>
      </c>
      <c r="W329" s="43">
        <v>115</v>
      </c>
      <c r="X329" s="43">
        <v>115</v>
      </c>
      <c r="Y329" s="43">
        <v>250</v>
      </c>
      <c r="Z329" s="43">
        <v>250</v>
      </c>
      <c r="AA329" s="43">
        <v>250</v>
      </c>
      <c r="AB329" s="43">
        <v>250</v>
      </c>
      <c r="AC329" s="43">
        <v>2</v>
      </c>
      <c r="AD329" s="43">
        <v>4</v>
      </c>
      <c r="AE329" s="43">
        <v>8</v>
      </c>
      <c r="AF329" s="43">
        <v>8</v>
      </c>
      <c r="AG329" s="43">
        <v>0</v>
      </c>
      <c r="AH329" s="43">
        <v>0</v>
      </c>
      <c r="AI329" s="43">
        <v>0</v>
      </c>
      <c r="AJ329" s="43">
        <v>0</v>
      </c>
    </row>
    <row r="330" spans="1:36">
      <c r="A330" t="s">
        <v>112</v>
      </c>
      <c r="B330" t="s">
        <v>868</v>
      </c>
      <c r="C330" s="3" t="s">
        <v>111</v>
      </c>
      <c r="D330" s="3" t="s">
        <v>867</v>
      </c>
      <c r="E330" s="40">
        <v>28000</v>
      </c>
      <c r="F330" s="40">
        <v>28000</v>
      </c>
      <c r="G330" s="40">
        <v>28000</v>
      </c>
      <c r="H330" s="40">
        <v>28000</v>
      </c>
      <c r="I330" s="46">
        <v>90.71</v>
      </c>
      <c r="J330" s="46">
        <v>90.71</v>
      </c>
      <c r="K330" s="46">
        <v>98.57</v>
      </c>
      <c r="L330" s="46">
        <v>98.57</v>
      </c>
      <c r="M330" s="43">
        <v>250</v>
      </c>
      <c r="N330" s="43">
        <v>250</v>
      </c>
      <c r="O330" s="43">
        <v>250</v>
      </c>
      <c r="P330" s="43">
        <v>250</v>
      </c>
      <c r="Q330" s="43">
        <v>115</v>
      </c>
      <c r="R330" s="43">
        <v>115</v>
      </c>
      <c r="S330" s="43">
        <v>115</v>
      </c>
      <c r="T330" s="43">
        <v>115</v>
      </c>
      <c r="U330" s="43">
        <v>115</v>
      </c>
      <c r="V330" s="43">
        <v>115</v>
      </c>
      <c r="W330" s="43">
        <v>115</v>
      </c>
      <c r="X330" s="43">
        <v>115</v>
      </c>
      <c r="Y330" s="43">
        <v>250</v>
      </c>
      <c r="Z330" s="43">
        <v>250</v>
      </c>
      <c r="AA330" s="43">
        <v>250</v>
      </c>
      <c r="AB330" s="43">
        <v>250</v>
      </c>
      <c r="AC330" s="43">
        <v>2</v>
      </c>
      <c r="AD330" s="43">
        <v>4</v>
      </c>
      <c r="AE330" s="43">
        <v>8</v>
      </c>
      <c r="AF330" s="43">
        <v>8</v>
      </c>
      <c r="AG330" s="43">
        <v>0</v>
      </c>
      <c r="AH330" s="43">
        <v>0</v>
      </c>
      <c r="AI330" s="43">
        <v>0</v>
      </c>
      <c r="AJ330" s="43">
        <v>0</v>
      </c>
    </row>
    <row r="331" spans="1:36">
      <c r="A331" t="s">
        <v>112</v>
      </c>
      <c r="B331" t="s">
        <v>868</v>
      </c>
      <c r="C331" s="3" t="s">
        <v>111</v>
      </c>
      <c r="D331" s="3" t="s">
        <v>867</v>
      </c>
      <c r="E331" s="40">
        <v>29000</v>
      </c>
      <c r="F331" s="40">
        <v>29000</v>
      </c>
      <c r="G331" s="40">
        <v>29000</v>
      </c>
      <c r="H331" s="40">
        <v>29000</v>
      </c>
      <c r="I331" s="46">
        <v>90.69</v>
      </c>
      <c r="J331" s="46">
        <v>90.69</v>
      </c>
      <c r="K331" s="46">
        <v>98.45</v>
      </c>
      <c r="L331" s="46">
        <v>98.45</v>
      </c>
      <c r="M331" s="43">
        <v>250</v>
      </c>
      <c r="N331" s="43">
        <v>250</v>
      </c>
      <c r="O331" s="43">
        <v>250</v>
      </c>
      <c r="P331" s="43">
        <v>250</v>
      </c>
      <c r="Q331" s="43">
        <v>115</v>
      </c>
      <c r="R331" s="43">
        <v>115</v>
      </c>
      <c r="S331" s="43">
        <v>115</v>
      </c>
      <c r="T331" s="43">
        <v>115</v>
      </c>
      <c r="U331" s="43">
        <v>115</v>
      </c>
      <c r="V331" s="43">
        <v>115</v>
      </c>
      <c r="W331" s="43">
        <v>115</v>
      </c>
      <c r="X331" s="43">
        <v>115</v>
      </c>
      <c r="Y331" s="43">
        <v>250</v>
      </c>
      <c r="Z331" s="43">
        <v>250</v>
      </c>
      <c r="AA331" s="43">
        <v>250</v>
      </c>
      <c r="AB331" s="43">
        <v>250</v>
      </c>
      <c r="AC331" s="43">
        <v>2</v>
      </c>
      <c r="AD331" s="43">
        <v>4</v>
      </c>
      <c r="AE331" s="43">
        <v>8</v>
      </c>
      <c r="AF331" s="43">
        <v>8</v>
      </c>
      <c r="AG331" s="43">
        <v>0</v>
      </c>
      <c r="AH331" s="43">
        <v>0</v>
      </c>
      <c r="AI331" s="43">
        <v>0</v>
      </c>
      <c r="AJ331" s="43">
        <v>0</v>
      </c>
    </row>
    <row r="332" spans="1:36">
      <c r="A332" t="s">
        <v>112</v>
      </c>
      <c r="B332" t="s">
        <v>868</v>
      </c>
      <c r="C332" s="3" t="s">
        <v>111</v>
      </c>
      <c r="D332" s="3" t="s">
        <v>867</v>
      </c>
      <c r="E332" s="40">
        <v>30000</v>
      </c>
      <c r="F332" s="40">
        <v>30000</v>
      </c>
      <c r="G332" s="40">
        <v>30000</v>
      </c>
      <c r="H332" s="40">
        <v>30000</v>
      </c>
      <c r="I332" s="46">
        <v>90.67</v>
      </c>
      <c r="J332" s="46">
        <v>90.67</v>
      </c>
      <c r="K332" s="46">
        <v>98.33</v>
      </c>
      <c r="L332" s="46">
        <v>98.33</v>
      </c>
      <c r="M332" s="43">
        <v>250</v>
      </c>
      <c r="N332" s="43">
        <v>250</v>
      </c>
      <c r="O332" s="43">
        <v>250</v>
      </c>
      <c r="P332" s="43">
        <v>250</v>
      </c>
      <c r="Q332" s="43">
        <v>115</v>
      </c>
      <c r="R332" s="43">
        <v>115</v>
      </c>
      <c r="S332" s="43">
        <v>115</v>
      </c>
      <c r="T332" s="43">
        <v>115</v>
      </c>
      <c r="U332" s="43">
        <v>115</v>
      </c>
      <c r="V332" s="43">
        <v>115</v>
      </c>
      <c r="W332" s="43">
        <v>115</v>
      </c>
      <c r="X332" s="43">
        <v>115</v>
      </c>
      <c r="Y332" s="43">
        <v>250</v>
      </c>
      <c r="Z332" s="43">
        <v>250</v>
      </c>
      <c r="AA332" s="43">
        <v>250</v>
      </c>
      <c r="AB332" s="43">
        <v>250</v>
      </c>
      <c r="AC332" s="43">
        <v>2</v>
      </c>
      <c r="AD332" s="43">
        <v>4</v>
      </c>
      <c r="AE332" s="43">
        <v>8</v>
      </c>
      <c r="AF332" s="43">
        <v>8</v>
      </c>
      <c r="AG332" s="43">
        <v>0</v>
      </c>
      <c r="AH332" s="43">
        <v>0</v>
      </c>
      <c r="AI332" s="43">
        <v>0</v>
      </c>
      <c r="AJ332" s="43">
        <v>0</v>
      </c>
    </row>
    <row r="333" spans="1:36">
      <c r="A333" t="s">
        <v>112</v>
      </c>
      <c r="B333" t="s">
        <v>868</v>
      </c>
      <c r="C333" s="3" t="s">
        <v>111</v>
      </c>
      <c r="D333" s="3" t="s">
        <v>867</v>
      </c>
      <c r="E333" s="40">
        <v>31000</v>
      </c>
      <c r="F333" s="40">
        <v>31000</v>
      </c>
      <c r="G333" s="40">
        <v>31000</v>
      </c>
      <c r="H333" s="40">
        <v>31000</v>
      </c>
      <c r="I333" s="46">
        <v>90.65</v>
      </c>
      <c r="J333" s="46">
        <v>90.65</v>
      </c>
      <c r="K333" s="46">
        <v>98.23</v>
      </c>
      <c r="L333" s="46">
        <v>98.23</v>
      </c>
      <c r="M333" s="43">
        <v>250</v>
      </c>
      <c r="N333" s="43">
        <v>250</v>
      </c>
      <c r="O333" s="43">
        <v>250</v>
      </c>
      <c r="P333" s="43">
        <v>250</v>
      </c>
      <c r="Q333" s="43">
        <v>115</v>
      </c>
      <c r="R333" s="43">
        <v>115</v>
      </c>
      <c r="S333" s="43">
        <v>115</v>
      </c>
      <c r="T333" s="43">
        <v>115</v>
      </c>
      <c r="U333" s="43">
        <v>115</v>
      </c>
      <c r="V333" s="43">
        <v>115</v>
      </c>
      <c r="W333" s="43">
        <v>115</v>
      </c>
      <c r="X333" s="43">
        <v>115</v>
      </c>
      <c r="Y333" s="43">
        <v>250</v>
      </c>
      <c r="Z333" s="43">
        <v>250</v>
      </c>
      <c r="AA333" s="43">
        <v>250</v>
      </c>
      <c r="AB333" s="43">
        <v>250</v>
      </c>
      <c r="AC333" s="43">
        <v>2</v>
      </c>
      <c r="AD333" s="43">
        <v>4</v>
      </c>
      <c r="AE333" s="43">
        <v>8</v>
      </c>
      <c r="AF333" s="43">
        <v>8</v>
      </c>
      <c r="AG333" s="43">
        <v>0</v>
      </c>
      <c r="AH333" s="43">
        <v>0</v>
      </c>
      <c r="AI333" s="43">
        <v>0</v>
      </c>
      <c r="AJ333" s="43">
        <v>0</v>
      </c>
    </row>
    <row r="334" spans="1:36">
      <c r="A334" t="s">
        <v>112</v>
      </c>
      <c r="B334" t="s">
        <v>868</v>
      </c>
      <c r="C334" s="3" t="s">
        <v>111</v>
      </c>
      <c r="D334" s="3" t="s">
        <v>867</v>
      </c>
      <c r="E334" s="40">
        <v>32000</v>
      </c>
      <c r="F334" s="40">
        <v>32000</v>
      </c>
      <c r="G334" s="40">
        <v>32000</v>
      </c>
      <c r="H334" s="40">
        <v>32000</v>
      </c>
      <c r="I334" s="46">
        <v>90.63</v>
      </c>
      <c r="J334" s="46">
        <v>90.63</v>
      </c>
      <c r="K334" s="46">
        <v>98.13</v>
      </c>
      <c r="L334" s="46">
        <v>98.13</v>
      </c>
      <c r="M334" s="43">
        <v>250</v>
      </c>
      <c r="N334" s="43">
        <v>250</v>
      </c>
      <c r="O334" s="43">
        <v>250</v>
      </c>
      <c r="P334" s="43">
        <v>250</v>
      </c>
      <c r="Q334" s="43">
        <v>115</v>
      </c>
      <c r="R334" s="43">
        <v>115</v>
      </c>
      <c r="S334" s="43">
        <v>115</v>
      </c>
      <c r="T334" s="43">
        <v>115</v>
      </c>
      <c r="U334" s="43">
        <v>115</v>
      </c>
      <c r="V334" s="43">
        <v>115</v>
      </c>
      <c r="W334" s="43">
        <v>115</v>
      </c>
      <c r="X334" s="43">
        <v>115</v>
      </c>
      <c r="Y334" s="43">
        <v>250</v>
      </c>
      <c r="Z334" s="43">
        <v>250</v>
      </c>
      <c r="AA334" s="43">
        <v>250</v>
      </c>
      <c r="AB334" s="43">
        <v>250</v>
      </c>
      <c r="AC334" s="43">
        <v>2</v>
      </c>
      <c r="AD334" s="43">
        <v>4</v>
      </c>
      <c r="AE334" s="43">
        <v>8</v>
      </c>
      <c r="AF334" s="43">
        <v>8</v>
      </c>
      <c r="AG334" s="43">
        <v>0</v>
      </c>
      <c r="AH334" s="43">
        <v>0</v>
      </c>
      <c r="AI334" s="43">
        <v>0</v>
      </c>
      <c r="AJ334" s="43">
        <v>0</v>
      </c>
    </row>
    <row r="335" spans="1:36">
      <c r="A335" t="s">
        <v>112</v>
      </c>
      <c r="B335" t="s">
        <v>868</v>
      </c>
      <c r="C335" s="3" t="s">
        <v>111</v>
      </c>
      <c r="D335" s="3" t="s">
        <v>867</v>
      </c>
      <c r="E335" s="40">
        <v>33000</v>
      </c>
      <c r="F335" s="40">
        <v>33000</v>
      </c>
      <c r="G335" s="40">
        <v>33000</v>
      </c>
      <c r="H335" s="40">
        <v>33000</v>
      </c>
      <c r="I335" s="46">
        <v>90.61</v>
      </c>
      <c r="J335" s="46">
        <v>90.61</v>
      </c>
      <c r="K335" s="46">
        <v>98.03</v>
      </c>
      <c r="L335" s="46">
        <v>98.03</v>
      </c>
      <c r="M335" s="43">
        <v>250</v>
      </c>
      <c r="N335" s="43">
        <v>250</v>
      </c>
      <c r="O335" s="43">
        <v>250</v>
      </c>
      <c r="P335" s="43">
        <v>250</v>
      </c>
      <c r="Q335" s="43">
        <v>115</v>
      </c>
      <c r="R335" s="43">
        <v>115</v>
      </c>
      <c r="S335" s="43">
        <v>115</v>
      </c>
      <c r="T335" s="43">
        <v>115</v>
      </c>
      <c r="U335" s="43">
        <v>115</v>
      </c>
      <c r="V335" s="43">
        <v>115</v>
      </c>
      <c r="W335" s="43">
        <v>115</v>
      </c>
      <c r="X335" s="43">
        <v>115</v>
      </c>
      <c r="Y335" s="43">
        <v>250</v>
      </c>
      <c r="Z335" s="43">
        <v>250</v>
      </c>
      <c r="AA335" s="43">
        <v>250</v>
      </c>
      <c r="AB335" s="43">
        <v>250</v>
      </c>
      <c r="AC335" s="43">
        <v>2</v>
      </c>
      <c r="AD335" s="43">
        <v>4</v>
      </c>
      <c r="AE335" s="43">
        <v>8</v>
      </c>
      <c r="AF335" s="43">
        <v>8</v>
      </c>
      <c r="AG335" s="43">
        <v>0</v>
      </c>
      <c r="AH335" s="43">
        <v>0</v>
      </c>
      <c r="AI335" s="43">
        <v>0</v>
      </c>
      <c r="AJ335" s="43">
        <v>0</v>
      </c>
    </row>
    <row r="336" spans="1:36">
      <c r="A336" t="s">
        <v>112</v>
      </c>
      <c r="B336" t="s">
        <v>868</v>
      </c>
      <c r="C336" s="3" t="s">
        <v>111</v>
      </c>
      <c r="D336" s="3" t="s">
        <v>867</v>
      </c>
      <c r="E336" s="40">
        <v>34000</v>
      </c>
      <c r="F336" s="40">
        <v>34000</v>
      </c>
      <c r="G336" s="40">
        <v>34000</v>
      </c>
      <c r="H336" s="40">
        <v>34000</v>
      </c>
      <c r="I336" s="46">
        <v>90.59</v>
      </c>
      <c r="J336" s="46">
        <v>90.59</v>
      </c>
      <c r="K336" s="46">
        <v>97.94</v>
      </c>
      <c r="L336" s="46">
        <v>97.94</v>
      </c>
      <c r="M336" s="43">
        <v>250</v>
      </c>
      <c r="N336" s="43">
        <v>250</v>
      </c>
      <c r="O336" s="43">
        <v>250</v>
      </c>
      <c r="P336" s="43">
        <v>250</v>
      </c>
      <c r="Q336" s="43">
        <v>115</v>
      </c>
      <c r="R336" s="43">
        <v>115</v>
      </c>
      <c r="S336" s="43">
        <v>115</v>
      </c>
      <c r="T336" s="43">
        <v>115</v>
      </c>
      <c r="U336" s="43">
        <v>115</v>
      </c>
      <c r="V336" s="43">
        <v>115</v>
      </c>
      <c r="W336" s="43">
        <v>115</v>
      </c>
      <c r="X336" s="43">
        <v>115</v>
      </c>
      <c r="Y336" s="43">
        <v>250</v>
      </c>
      <c r="Z336" s="43">
        <v>250</v>
      </c>
      <c r="AA336" s="43">
        <v>250</v>
      </c>
      <c r="AB336" s="43">
        <v>250</v>
      </c>
      <c r="AC336" s="43">
        <v>2</v>
      </c>
      <c r="AD336" s="43">
        <v>4</v>
      </c>
      <c r="AE336" s="43">
        <v>8</v>
      </c>
      <c r="AF336" s="43">
        <v>8</v>
      </c>
      <c r="AG336" s="43">
        <v>0</v>
      </c>
      <c r="AH336" s="43">
        <v>0</v>
      </c>
      <c r="AI336" s="43">
        <v>0</v>
      </c>
      <c r="AJ336" s="43">
        <v>0</v>
      </c>
    </row>
    <row r="337" spans="1:36">
      <c r="A337" t="s">
        <v>112</v>
      </c>
      <c r="B337" t="s">
        <v>868</v>
      </c>
      <c r="C337" s="3" t="s">
        <v>111</v>
      </c>
      <c r="D337" s="3" t="s">
        <v>867</v>
      </c>
      <c r="E337" s="40">
        <v>35000</v>
      </c>
      <c r="F337" s="40">
        <v>35000</v>
      </c>
      <c r="G337" s="40">
        <v>35000</v>
      </c>
      <c r="H337" s="40">
        <v>35000</v>
      </c>
      <c r="I337" s="46">
        <v>90.57</v>
      </c>
      <c r="J337" s="46">
        <v>90.57</v>
      </c>
      <c r="K337" s="46">
        <v>97.86</v>
      </c>
      <c r="L337" s="46">
        <v>97.86</v>
      </c>
      <c r="M337" s="43">
        <v>250</v>
      </c>
      <c r="N337" s="43">
        <v>250</v>
      </c>
      <c r="O337" s="43">
        <v>250</v>
      </c>
      <c r="P337" s="43">
        <v>250</v>
      </c>
      <c r="Q337" s="43">
        <v>115</v>
      </c>
      <c r="R337" s="43">
        <v>115</v>
      </c>
      <c r="S337" s="43">
        <v>115</v>
      </c>
      <c r="T337" s="43">
        <v>115</v>
      </c>
      <c r="U337" s="43">
        <v>115</v>
      </c>
      <c r="V337" s="43">
        <v>115</v>
      </c>
      <c r="W337" s="43">
        <v>115</v>
      </c>
      <c r="X337" s="43">
        <v>115</v>
      </c>
      <c r="Y337" s="43">
        <v>250</v>
      </c>
      <c r="Z337" s="43">
        <v>250</v>
      </c>
      <c r="AA337" s="43">
        <v>250</v>
      </c>
      <c r="AB337" s="43">
        <v>250</v>
      </c>
      <c r="AC337" s="43">
        <v>2</v>
      </c>
      <c r="AD337" s="43">
        <v>4</v>
      </c>
      <c r="AE337" s="43">
        <v>8</v>
      </c>
      <c r="AF337" s="43">
        <v>8</v>
      </c>
      <c r="AG337" s="43">
        <v>0</v>
      </c>
      <c r="AH337" s="43">
        <v>0</v>
      </c>
      <c r="AI337" s="43">
        <v>0</v>
      </c>
      <c r="AJ337" s="43">
        <v>0</v>
      </c>
    </row>
    <row r="338" spans="1:36">
      <c r="A338" t="s">
        <v>112</v>
      </c>
      <c r="B338" t="s">
        <v>868</v>
      </c>
      <c r="C338" s="3" t="s">
        <v>111</v>
      </c>
      <c r="D338" s="3" t="s">
        <v>867</v>
      </c>
      <c r="E338" s="40">
        <v>36000</v>
      </c>
      <c r="F338" s="40">
        <v>36000</v>
      </c>
      <c r="G338" s="40">
        <v>36000</v>
      </c>
      <c r="H338" s="40">
        <v>36000</v>
      </c>
      <c r="I338" s="46">
        <v>90.56</v>
      </c>
      <c r="J338" s="46">
        <v>90.56</v>
      </c>
      <c r="K338" s="46">
        <v>97.78</v>
      </c>
      <c r="L338" s="46">
        <v>97.78</v>
      </c>
      <c r="M338" s="43">
        <v>250</v>
      </c>
      <c r="N338" s="43">
        <v>250</v>
      </c>
      <c r="O338" s="43">
        <v>250</v>
      </c>
      <c r="P338" s="43">
        <v>250</v>
      </c>
      <c r="Q338" s="43">
        <v>115</v>
      </c>
      <c r="R338" s="43">
        <v>115</v>
      </c>
      <c r="S338" s="43">
        <v>115</v>
      </c>
      <c r="T338" s="43">
        <v>115</v>
      </c>
      <c r="U338" s="43">
        <v>115</v>
      </c>
      <c r="V338" s="43">
        <v>115</v>
      </c>
      <c r="W338" s="43">
        <v>115</v>
      </c>
      <c r="X338" s="43">
        <v>115</v>
      </c>
      <c r="Y338" s="43">
        <v>250</v>
      </c>
      <c r="Z338" s="43">
        <v>250</v>
      </c>
      <c r="AA338" s="43">
        <v>250</v>
      </c>
      <c r="AB338" s="43">
        <v>250</v>
      </c>
      <c r="AC338" s="43">
        <v>2</v>
      </c>
      <c r="AD338" s="43">
        <v>4</v>
      </c>
      <c r="AE338" s="43">
        <v>8</v>
      </c>
      <c r="AF338" s="43">
        <v>8</v>
      </c>
      <c r="AG338" s="43">
        <v>0</v>
      </c>
      <c r="AH338" s="43">
        <v>0</v>
      </c>
      <c r="AI338" s="43">
        <v>0</v>
      </c>
      <c r="AJ338" s="43">
        <v>0</v>
      </c>
    </row>
    <row r="339" spans="1:36">
      <c r="A339" t="s">
        <v>112</v>
      </c>
      <c r="B339" t="s">
        <v>868</v>
      </c>
      <c r="C339" s="3" t="s">
        <v>111</v>
      </c>
      <c r="D339" s="3" t="s">
        <v>867</v>
      </c>
      <c r="E339" s="40">
        <v>37000</v>
      </c>
      <c r="F339" s="40">
        <v>37000</v>
      </c>
      <c r="G339" s="40">
        <v>37000</v>
      </c>
      <c r="H339" s="40">
        <v>37000</v>
      </c>
      <c r="I339" s="46">
        <v>90.54</v>
      </c>
      <c r="J339" s="46">
        <v>90.54</v>
      </c>
      <c r="K339" s="46">
        <v>97.7</v>
      </c>
      <c r="L339" s="46">
        <v>97.7</v>
      </c>
      <c r="M339" s="43">
        <v>250</v>
      </c>
      <c r="N339" s="43">
        <v>250</v>
      </c>
      <c r="O339" s="43">
        <v>250</v>
      </c>
      <c r="P339" s="43">
        <v>250</v>
      </c>
      <c r="Q339" s="43">
        <v>115</v>
      </c>
      <c r="R339" s="43">
        <v>115</v>
      </c>
      <c r="S339" s="43">
        <v>115</v>
      </c>
      <c r="T339" s="43">
        <v>115</v>
      </c>
      <c r="U339" s="43">
        <v>115</v>
      </c>
      <c r="V339" s="43">
        <v>115</v>
      </c>
      <c r="W339" s="43">
        <v>115</v>
      </c>
      <c r="X339" s="43">
        <v>115</v>
      </c>
      <c r="Y339" s="43">
        <v>250</v>
      </c>
      <c r="Z339" s="43">
        <v>250</v>
      </c>
      <c r="AA339" s="43">
        <v>250</v>
      </c>
      <c r="AB339" s="43">
        <v>250</v>
      </c>
      <c r="AC339" s="43">
        <v>2</v>
      </c>
      <c r="AD339" s="43">
        <v>4</v>
      </c>
      <c r="AE339" s="43">
        <v>8</v>
      </c>
      <c r="AF339" s="43">
        <v>8</v>
      </c>
      <c r="AG339" s="43">
        <v>0</v>
      </c>
      <c r="AH339" s="43">
        <v>0</v>
      </c>
      <c r="AI339" s="43">
        <v>0</v>
      </c>
      <c r="AJ339" s="43">
        <v>0</v>
      </c>
    </row>
    <row r="340" spans="1:36">
      <c r="A340" t="s">
        <v>112</v>
      </c>
      <c r="B340" t="s">
        <v>868</v>
      </c>
      <c r="C340" s="3" t="s">
        <v>111</v>
      </c>
      <c r="D340" s="3" t="s">
        <v>867</v>
      </c>
      <c r="E340" s="40">
        <v>38000</v>
      </c>
      <c r="F340" s="40">
        <v>38000</v>
      </c>
      <c r="G340" s="40">
        <v>38000</v>
      </c>
      <c r="H340" s="40">
        <v>38000</v>
      </c>
      <c r="I340" s="46">
        <v>90.53</v>
      </c>
      <c r="J340" s="46">
        <v>90.53</v>
      </c>
      <c r="K340" s="46">
        <v>97.63</v>
      </c>
      <c r="L340" s="46">
        <v>97.63</v>
      </c>
      <c r="M340" s="43">
        <v>250</v>
      </c>
      <c r="N340" s="43">
        <v>250</v>
      </c>
      <c r="O340" s="43">
        <v>250</v>
      </c>
      <c r="P340" s="43">
        <v>250</v>
      </c>
      <c r="Q340" s="43">
        <v>115</v>
      </c>
      <c r="R340" s="43">
        <v>115</v>
      </c>
      <c r="S340" s="43">
        <v>115</v>
      </c>
      <c r="T340" s="43">
        <v>115</v>
      </c>
      <c r="U340" s="43">
        <v>115</v>
      </c>
      <c r="V340" s="43">
        <v>115</v>
      </c>
      <c r="W340" s="43">
        <v>115</v>
      </c>
      <c r="X340" s="43">
        <v>115</v>
      </c>
      <c r="Y340" s="43">
        <v>250</v>
      </c>
      <c r="Z340" s="43">
        <v>250</v>
      </c>
      <c r="AA340" s="43">
        <v>250</v>
      </c>
      <c r="AB340" s="43">
        <v>250</v>
      </c>
      <c r="AC340" s="43">
        <v>2</v>
      </c>
      <c r="AD340" s="43">
        <v>4</v>
      </c>
      <c r="AE340" s="43">
        <v>8</v>
      </c>
      <c r="AF340" s="43">
        <v>8</v>
      </c>
      <c r="AG340" s="43">
        <v>0</v>
      </c>
      <c r="AH340" s="43">
        <v>0</v>
      </c>
      <c r="AI340" s="43">
        <v>0</v>
      </c>
      <c r="AJ340" s="43">
        <v>0</v>
      </c>
    </row>
    <row r="341" spans="1:36">
      <c r="A341" t="s">
        <v>112</v>
      </c>
      <c r="B341" t="s">
        <v>868</v>
      </c>
      <c r="C341" s="3" t="s">
        <v>111</v>
      </c>
      <c r="D341" s="3" t="s">
        <v>867</v>
      </c>
      <c r="E341" s="40">
        <v>39000</v>
      </c>
      <c r="F341" s="40">
        <v>39000</v>
      </c>
      <c r="G341" s="40">
        <v>39000</v>
      </c>
      <c r="H341" s="40">
        <v>39000</v>
      </c>
      <c r="I341" s="46">
        <v>90.51</v>
      </c>
      <c r="J341" s="46">
        <v>90.51</v>
      </c>
      <c r="K341" s="46">
        <v>97.56</v>
      </c>
      <c r="L341" s="46">
        <v>97.56</v>
      </c>
      <c r="M341" s="43">
        <v>250</v>
      </c>
      <c r="N341" s="43">
        <v>250</v>
      </c>
      <c r="O341" s="43">
        <v>250</v>
      </c>
      <c r="P341" s="43">
        <v>250</v>
      </c>
      <c r="Q341" s="43">
        <v>115</v>
      </c>
      <c r="R341" s="43">
        <v>115</v>
      </c>
      <c r="S341" s="43">
        <v>115</v>
      </c>
      <c r="T341" s="43">
        <v>115</v>
      </c>
      <c r="U341" s="43">
        <v>115</v>
      </c>
      <c r="V341" s="43">
        <v>115</v>
      </c>
      <c r="W341" s="43">
        <v>115</v>
      </c>
      <c r="X341" s="43">
        <v>115</v>
      </c>
      <c r="Y341" s="43">
        <v>250</v>
      </c>
      <c r="Z341" s="43">
        <v>250</v>
      </c>
      <c r="AA341" s="43">
        <v>250</v>
      </c>
      <c r="AB341" s="43">
        <v>250</v>
      </c>
      <c r="AC341" s="43">
        <v>2</v>
      </c>
      <c r="AD341" s="43">
        <v>4</v>
      </c>
      <c r="AE341" s="43">
        <v>8</v>
      </c>
      <c r="AF341" s="43">
        <v>8</v>
      </c>
      <c r="AG341" s="43">
        <v>0</v>
      </c>
      <c r="AH341" s="43">
        <v>0</v>
      </c>
      <c r="AI341" s="43">
        <v>0</v>
      </c>
      <c r="AJ341" s="43">
        <v>0</v>
      </c>
    </row>
    <row r="342" spans="1:36">
      <c r="A342" t="s">
        <v>112</v>
      </c>
      <c r="B342" t="s">
        <v>868</v>
      </c>
      <c r="C342" s="3" t="s">
        <v>111</v>
      </c>
      <c r="D342" s="3" t="s">
        <v>867</v>
      </c>
      <c r="E342" s="40">
        <v>40000</v>
      </c>
      <c r="F342" s="40">
        <v>40000</v>
      </c>
      <c r="G342" s="40">
        <v>40000</v>
      </c>
      <c r="H342" s="40">
        <v>40000</v>
      </c>
      <c r="I342" s="46">
        <v>90.5</v>
      </c>
      <c r="J342" s="46">
        <v>90.5</v>
      </c>
      <c r="K342" s="46">
        <v>97.5</v>
      </c>
      <c r="L342" s="46">
        <v>97.5</v>
      </c>
      <c r="M342" s="43">
        <v>250</v>
      </c>
      <c r="N342" s="43">
        <v>250</v>
      </c>
      <c r="O342" s="43">
        <v>250</v>
      </c>
      <c r="P342" s="43">
        <v>250</v>
      </c>
      <c r="Q342" s="43">
        <v>115</v>
      </c>
      <c r="R342" s="43">
        <v>115</v>
      </c>
      <c r="S342" s="43">
        <v>115</v>
      </c>
      <c r="T342" s="43">
        <v>115</v>
      </c>
      <c r="U342" s="43">
        <v>115</v>
      </c>
      <c r="V342" s="43">
        <v>115</v>
      </c>
      <c r="W342" s="43">
        <v>115</v>
      </c>
      <c r="X342" s="43">
        <v>115</v>
      </c>
      <c r="Y342" s="43">
        <v>250</v>
      </c>
      <c r="Z342" s="43">
        <v>250</v>
      </c>
      <c r="AA342" s="43">
        <v>250</v>
      </c>
      <c r="AB342" s="43">
        <v>250</v>
      </c>
      <c r="AC342" s="43">
        <v>2</v>
      </c>
      <c r="AD342" s="43">
        <v>4</v>
      </c>
      <c r="AE342" s="43">
        <v>8</v>
      </c>
      <c r="AF342" s="43">
        <v>8</v>
      </c>
      <c r="AG342" s="43">
        <v>0</v>
      </c>
      <c r="AH342" s="43">
        <v>0</v>
      </c>
      <c r="AI342" s="43">
        <v>0</v>
      </c>
      <c r="AJ342" s="43">
        <v>0</v>
      </c>
    </row>
    <row r="343" spans="1:36">
      <c r="A343" t="s">
        <v>112</v>
      </c>
      <c r="B343" t="s">
        <v>868</v>
      </c>
      <c r="C343" s="3" t="s">
        <v>111</v>
      </c>
      <c r="D343" s="3" t="s">
        <v>867</v>
      </c>
      <c r="E343" s="40">
        <v>41000</v>
      </c>
      <c r="F343" s="40">
        <v>41000</v>
      </c>
      <c r="G343" s="40">
        <v>41000</v>
      </c>
      <c r="H343" s="40">
        <v>41000</v>
      </c>
      <c r="I343" s="46">
        <v>90.49</v>
      </c>
      <c r="J343" s="46">
        <v>90.49</v>
      </c>
      <c r="K343" s="46">
        <v>97.44</v>
      </c>
      <c r="L343" s="46">
        <v>97.44</v>
      </c>
      <c r="M343" s="43">
        <v>250</v>
      </c>
      <c r="N343" s="43">
        <v>250</v>
      </c>
      <c r="O343" s="43">
        <v>250</v>
      </c>
      <c r="P343" s="43">
        <v>250</v>
      </c>
      <c r="Q343" s="43">
        <v>115</v>
      </c>
      <c r="R343" s="43">
        <v>115</v>
      </c>
      <c r="S343" s="43">
        <v>115</v>
      </c>
      <c r="T343" s="43">
        <v>115</v>
      </c>
      <c r="U343" s="43">
        <v>115</v>
      </c>
      <c r="V343" s="43">
        <v>115</v>
      </c>
      <c r="W343" s="43">
        <v>115</v>
      </c>
      <c r="X343" s="43">
        <v>115</v>
      </c>
      <c r="Y343" s="43">
        <v>250</v>
      </c>
      <c r="Z343" s="43">
        <v>250</v>
      </c>
      <c r="AA343" s="43">
        <v>250</v>
      </c>
      <c r="AB343" s="43">
        <v>250</v>
      </c>
      <c r="AC343" s="43">
        <v>2</v>
      </c>
      <c r="AD343" s="43">
        <v>4</v>
      </c>
      <c r="AE343" s="43">
        <v>8</v>
      </c>
      <c r="AF343" s="43">
        <v>8</v>
      </c>
      <c r="AG343" s="43">
        <v>0</v>
      </c>
      <c r="AH343" s="43">
        <v>0</v>
      </c>
      <c r="AI343" s="43">
        <v>0</v>
      </c>
      <c r="AJ343" s="43">
        <v>0</v>
      </c>
    </row>
    <row r="344" spans="1:36">
      <c r="A344" t="s">
        <v>112</v>
      </c>
      <c r="B344" t="s">
        <v>868</v>
      </c>
      <c r="C344" s="3" t="s">
        <v>111</v>
      </c>
      <c r="D344" s="3" t="s">
        <v>867</v>
      </c>
      <c r="E344" s="40">
        <v>42000</v>
      </c>
      <c r="F344" s="40">
        <v>42000</v>
      </c>
      <c r="G344" s="40">
        <v>42000</v>
      </c>
      <c r="H344" s="40">
        <v>42000</v>
      </c>
      <c r="I344" s="46">
        <v>90.48</v>
      </c>
      <c r="J344" s="46">
        <v>90.48</v>
      </c>
      <c r="K344" s="46">
        <v>97.38</v>
      </c>
      <c r="L344" s="46">
        <v>97.38</v>
      </c>
      <c r="M344" s="43">
        <v>250</v>
      </c>
      <c r="N344" s="43">
        <v>250</v>
      </c>
      <c r="O344" s="43">
        <v>250</v>
      </c>
      <c r="P344" s="43">
        <v>250</v>
      </c>
      <c r="Q344" s="43">
        <v>115</v>
      </c>
      <c r="R344" s="43">
        <v>115</v>
      </c>
      <c r="S344" s="43">
        <v>115</v>
      </c>
      <c r="T344" s="43">
        <v>115</v>
      </c>
      <c r="U344" s="43">
        <v>115</v>
      </c>
      <c r="V344" s="43">
        <v>115</v>
      </c>
      <c r="W344" s="43">
        <v>115</v>
      </c>
      <c r="X344" s="43">
        <v>115</v>
      </c>
      <c r="Y344" s="43">
        <v>250</v>
      </c>
      <c r="Z344" s="43">
        <v>250</v>
      </c>
      <c r="AA344" s="43">
        <v>250</v>
      </c>
      <c r="AB344" s="43">
        <v>250</v>
      </c>
      <c r="AC344" s="43">
        <v>2</v>
      </c>
      <c r="AD344" s="43">
        <v>4</v>
      </c>
      <c r="AE344" s="43">
        <v>8</v>
      </c>
      <c r="AF344" s="43">
        <v>8</v>
      </c>
      <c r="AG344" s="43">
        <v>0</v>
      </c>
      <c r="AH344" s="43">
        <v>0</v>
      </c>
      <c r="AI344" s="43">
        <v>0</v>
      </c>
      <c r="AJ344" s="43">
        <v>0</v>
      </c>
    </row>
    <row r="345" spans="1:36">
      <c r="A345" t="s">
        <v>112</v>
      </c>
      <c r="B345" t="s">
        <v>868</v>
      </c>
      <c r="C345" s="3" t="s">
        <v>111</v>
      </c>
      <c r="D345" s="3" t="s">
        <v>867</v>
      </c>
      <c r="E345" s="40">
        <v>43000</v>
      </c>
      <c r="F345" s="40">
        <v>43000</v>
      </c>
      <c r="G345" s="40">
        <v>43000</v>
      </c>
      <c r="H345" s="40">
        <v>43000</v>
      </c>
      <c r="I345" s="46">
        <v>90.47</v>
      </c>
      <c r="J345" s="46">
        <v>90.47</v>
      </c>
      <c r="K345" s="46">
        <v>97.33</v>
      </c>
      <c r="L345" s="46">
        <v>97.33</v>
      </c>
      <c r="M345" s="43">
        <v>250</v>
      </c>
      <c r="N345" s="43">
        <v>250</v>
      </c>
      <c r="O345" s="43">
        <v>250</v>
      </c>
      <c r="P345" s="43">
        <v>250</v>
      </c>
      <c r="Q345" s="43">
        <v>115</v>
      </c>
      <c r="R345" s="43">
        <v>115</v>
      </c>
      <c r="S345" s="43">
        <v>115</v>
      </c>
      <c r="T345" s="43">
        <v>115</v>
      </c>
      <c r="U345" s="43">
        <v>115</v>
      </c>
      <c r="V345" s="43">
        <v>115</v>
      </c>
      <c r="W345" s="43">
        <v>115</v>
      </c>
      <c r="X345" s="43">
        <v>115</v>
      </c>
      <c r="Y345" s="43">
        <v>250</v>
      </c>
      <c r="Z345" s="43">
        <v>250</v>
      </c>
      <c r="AA345" s="43">
        <v>250</v>
      </c>
      <c r="AB345" s="43">
        <v>250</v>
      </c>
      <c r="AC345" s="43">
        <v>2</v>
      </c>
      <c r="AD345" s="43">
        <v>4</v>
      </c>
      <c r="AE345" s="43">
        <v>8</v>
      </c>
      <c r="AF345" s="43">
        <v>8</v>
      </c>
      <c r="AG345" s="43">
        <v>0</v>
      </c>
      <c r="AH345" s="43">
        <v>0</v>
      </c>
      <c r="AI345" s="43">
        <v>0</v>
      </c>
      <c r="AJ345" s="43">
        <v>0</v>
      </c>
    </row>
    <row r="346" spans="1:36">
      <c r="A346" t="s">
        <v>112</v>
      </c>
      <c r="B346" t="s">
        <v>868</v>
      </c>
      <c r="C346" s="3" t="s">
        <v>111</v>
      </c>
      <c r="D346" s="3" t="s">
        <v>867</v>
      </c>
      <c r="E346" s="40">
        <v>44000</v>
      </c>
      <c r="F346" s="40">
        <v>44000</v>
      </c>
      <c r="G346" s="40">
        <v>44000</v>
      </c>
      <c r="H346" s="40">
        <v>44000</v>
      </c>
      <c r="I346" s="46">
        <v>90.45</v>
      </c>
      <c r="J346" s="46">
        <v>90.45</v>
      </c>
      <c r="K346" s="46">
        <v>97.27</v>
      </c>
      <c r="L346" s="46">
        <v>97.27</v>
      </c>
      <c r="M346" s="43">
        <v>250</v>
      </c>
      <c r="N346" s="43">
        <v>250</v>
      </c>
      <c r="O346" s="43">
        <v>250</v>
      </c>
      <c r="P346" s="43">
        <v>250</v>
      </c>
      <c r="Q346" s="43">
        <v>115</v>
      </c>
      <c r="R346" s="43">
        <v>115</v>
      </c>
      <c r="S346" s="43">
        <v>115</v>
      </c>
      <c r="T346" s="43">
        <v>115</v>
      </c>
      <c r="U346" s="43">
        <v>115</v>
      </c>
      <c r="V346" s="43">
        <v>115</v>
      </c>
      <c r="W346" s="43">
        <v>115</v>
      </c>
      <c r="X346" s="43">
        <v>115</v>
      </c>
      <c r="Y346" s="43">
        <v>250</v>
      </c>
      <c r="Z346" s="43">
        <v>250</v>
      </c>
      <c r="AA346" s="43">
        <v>250</v>
      </c>
      <c r="AB346" s="43">
        <v>250</v>
      </c>
      <c r="AC346" s="43">
        <v>2</v>
      </c>
      <c r="AD346" s="43">
        <v>4</v>
      </c>
      <c r="AE346" s="43">
        <v>8</v>
      </c>
      <c r="AF346" s="43">
        <v>8</v>
      </c>
      <c r="AG346" s="43">
        <v>0</v>
      </c>
      <c r="AH346" s="43">
        <v>0</v>
      </c>
      <c r="AI346" s="43">
        <v>0</v>
      </c>
      <c r="AJ346" s="43">
        <v>0</v>
      </c>
    </row>
    <row r="347" spans="1:36">
      <c r="A347" t="s">
        <v>112</v>
      </c>
      <c r="B347" t="s">
        <v>868</v>
      </c>
      <c r="C347" s="3" t="s">
        <v>111</v>
      </c>
      <c r="D347" s="3" t="s">
        <v>867</v>
      </c>
      <c r="E347" s="40">
        <v>45000</v>
      </c>
      <c r="F347" s="40">
        <v>45000</v>
      </c>
      <c r="G347" s="40">
        <v>45000</v>
      </c>
      <c r="H347" s="40">
        <v>45000</v>
      </c>
      <c r="I347" s="46">
        <v>90.44</v>
      </c>
      <c r="J347" s="46">
        <v>90.44</v>
      </c>
      <c r="K347" s="46">
        <v>97.22</v>
      </c>
      <c r="L347" s="46">
        <v>97.22</v>
      </c>
      <c r="M347" s="43">
        <v>250</v>
      </c>
      <c r="N347" s="43">
        <v>250</v>
      </c>
      <c r="O347" s="43">
        <v>250</v>
      </c>
      <c r="P347" s="43">
        <v>250</v>
      </c>
      <c r="Q347" s="43">
        <v>115</v>
      </c>
      <c r="R347" s="43">
        <v>115</v>
      </c>
      <c r="S347" s="43">
        <v>115</v>
      </c>
      <c r="T347" s="43">
        <v>115</v>
      </c>
      <c r="U347" s="43">
        <v>115</v>
      </c>
      <c r="V347" s="43">
        <v>115</v>
      </c>
      <c r="W347" s="43">
        <v>115</v>
      </c>
      <c r="X347" s="43">
        <v>115</v>
      </c>
      <c r="Y347" s="43">
        <v>250</v>
      </c>
      <c r="Z347" s="43">
        <v>250</v>
      </c>
      <c r="AA347" s="43">
        <v>250</v>
      </c>
      <c r="AB347" s="43">
        <v>250</v>
      </c>
      <c r="AC347" s="43">
        <v>2</v>
      </c>
      <c r="AD347" s="43">
        <v>4</v>
      </c>
      <c r="AE347" s="43">
        <v>8</v>
      </c>
      <c r="AF347" s="43">
        <v>8</v>
      </c>
      <c r="AG347" s="43">
        <v>0</v>
      </c>
      <c r="AH347" s="43">
        <v>0</v>
      </c>
      <c r="AI347" s="43">
        <v>0</v>
      </c>
      <c r="AJ347" s="43">
        <v>0</v>
      </c>
    </row>
    <row r="348" spans="1:36">
      <c r="A348" t="s">
        <v>112</v>
      </c>
      <c r="B348" t="s">
        <v>868</v>
      </c>
      <c r="C348" s="3" t="s">
        <v>111</v>
      </c>
      <c r="D348" s="3" t="s">
        <v>867</v>
      </c>
      <c r="E348" s="40">
        <v>46000</v>
      </c>
      <c r="F348" s="40">
        <v>46000</v>
      </c>
      <c r="G348" s="40">
        <v>46000</v>
      </c>
      <c r="H348" s="40">
        <v>46000</v>
      </c>
      <c r="I348" s="46">
        <v>90.43</v>
      </c>
      <c r="J348" s="46">
        <v>90.43</v>
      </c>
      <c r="K348" s="46">
        <v>97.17</v>
      </c>
      <c r="L348" s="46">
        <v>97.17</v>
      </c>
      <c r="M348" s="43">
        <v>250</v>
      </c>
      <c r="N348" s="43">
        <v>250</v>
      </c>
      <c r="O348" s="43">
        <v>250</v>
      </c>
      <c r="P348" s="43">
        <v>250</v>
      </c>
      <c r="Q348" s="43">
        <v>115</v>
      </c>
      <c r="R348" s="43">
        <v>115</v>
      </c>
      <c r="S348" s="43">
        <v>115</v>
      </c>
      <c r="T348" s="43">
        <v>115</v>
      </c>
      <c r="U348" s="43">
        <v>115</v>
      </c>
      <c r="V348" s="43">
        <v>115</v>
      </c>
      <c r="W348" s="43">
        <v>115</v>
      </c>
      <c r="X348" s="43">
        <v>115</v>
      </c>
      <c r="Y348" s="43">
        <v>250</v>
      </c>
      <c r="Z348" s="43">
        <v>250</v>
      </c>
      <c r="AA348" s="43">
        <v>250</v>
      </c>
      <c r="AB348" s="43">
        <v>250</v>
      </c>
      <c r="AC348" s="43">
        <v>2</v>
      </c>
      <c r="AD348" s="43">
        <v>4</v>
      </c>
      <c r="AE348" s="43">
        <v>8</v>
      </c>
      <c r="AF348" s="43">
        <v>8</v>
      </c>
      <c r="AG348" s="43">
        <v>0</v>
      </c>
      <c r="AH348" s="43">
        <v>0</v>
      </c>
      <c r="AI348" s="43">
        <v>0</v>
      </c>
      <c r="AJ348" s="43">
        <v>0</v>
      </c>
    </row>
    <row r="349" spans="1:36">
      <c r="A349" t="s">
        <v>112</v>
      </c>
      <c r="B349" t="s">
        <v>868</v>
      </c>
      <c r="C349" s="3" t="s">
        <v>111</v>
      </c>
      <c r="D349" s="3" t="s">
        <v>867</v>
      </c>
      <c r="E349" s="40">
        <v>47000</v>
      </c>
      <c r="F349" s="40">
        <v>47000</v>
      </c>
      <c r="G349" s="40">
        <v>47000</v>
      </c>
      <c r="H349" s="40">
        <v>47000</v>
      </c>
      <c r="I349" s="46">
        <v>90.43</v>
      </c>
      <c r="J349" s="46">
        <v>90.43</v>
      </c>
      <c r="K349" s="46">
        <v>97.13</v>
      </c>
      <c r="L349" s="46">
        <v>97.13</v>
      </c>
      <c r="M349" s="43">
        <v>250</v>
      </c>
      <c r="N349" s="43">
        <v>250</v>
      </c>
      <c r="O349" s="43">
        <v>250</v>
      </c>
      <c r="P349" s="43">
        <v>250</v>
      </c>
      <c r="Q349" s="43">
        <v>115</v>
      </c>
      <c r="R349" s="43">
        <v>115</v>
      </c>
      <c r="S349" s="43">
        <v>115</v>
      </c>
      <c r="T349" s="43">
        <v>115</v>
      </c>
      <c r="U349" s="43">
        <v>115</v>
      </c>
      <c r="V349" s="43">
        <v>115</v>
      </c>
      <c r="W349" s="43">
        <v>115</v>
      </c>
      <c r="X349" s="43">
        <v>115</v>
      </c>
      <c r="Y349" s="43">
        <v>250</v>
      </c>
      <c r="Z349" s="43">
        <v>250</v>
      </c>
      <c r="AA349" s="43">
        <v>250</v>
      </c>
      <c r="AB349" s="43">
        <v>250</v>
      </c>
      <c r="AC349" s="43">
        <v>2</v>
      </c>
      <c r="AD349" s="43">
        <v>4</v>
      </c>
      <c r="AE349" s="43">
        <v>8</v>
      </c>
      <c r="AF349" s="43">
        <v>8</v>
      </c>
      <c r="AG349" s="43">
        <v>0</v>
      </c>
      <c r="AH349" s="43">
        <v>0</v>
      </c>
      <c r="AI349" s="43">
        <v>0</v>
      </c>
      <c r="AJ349" s="43">
        <v>0</v>
      </c>
    </row>
    <row r="350" spans="1:36">
      <c r="A350" t="s">
        <v>112</v>
      </c>
      <c r="B350" t="s">
        <v>868</v>
      </c>
      <c r="C350" s="3" t="s">
        <v>111</v>
      </c>
      <c r="D350" s="3" t="s">
        <v>867</v>
      </c>
      <c r="E350" s="40">
        <v>48000</v>
      </c>
      <c r="F350" s="40">
        <v>48000</v>
      </c>
      <c r="G350" s="40">
        <v>48000</v>
      </c>
      <c r="H350" s="40">
        <v>48000</v>
      </c>
      <c r="I350" s="46">
        <v>90.42</v>
      </c>
      <c r="J350" s="46">
        <v>90.42</v>
      </c>
      <c r="K350" s="46">
        <v>97.08</v>
      </c>
      <c r="L350" s="46">
        <v>97.08</v>
      </c>
      <c r="M350" s="43">
        <v>250</v>
      </c>
      <c r="N350" s="43">
        <v>250</v>
      </c>
      <c r="O350" s="43">
        <v>250</v>
      </c>
      <c r="P350" s="43">
        <v>250</v>
      </c>
      <c r="Q350" s="43">
        <v>115</v>
      </c>
      <c r="R350" s="43">
        <v>115</v>
      </c>
      <c r="S350" s="43">
        <v>115</v>
      </c>
      <c r="T350" s="43">
        <v>115</v>
      </c>
      <c r="U350" s="43">
        <v>115</v>
      </c>
      <c r="V350" s="43">
        <v>115</v>
      </c>
      <c r="W350" s="43">
        <v>115</v>
      </c>
      <c r="X350" s="43">
        <v>115</v>
      </c>
      <c r="Y350" s="43">
        <v>250</v>
      </c>
      <c r="Z350" s="43">
        <v>250</v>
      </c>
      <c r="AA350" s="43">
        <v>250</v>
      </c>
      <c r="AB350" s="43">
        <v>250</v>
      </c>
      <c r="AC350" s="43">
        <v>2</v>
      </c>
      <c r="AD350" s="43">
        <v>4</v>
      </c>
      <c r="AE350" s="43">
        <v>8</v>
      </c>
      <c r="AF350" s="43">
        <v>8</v>
      </c>
      <c r="AG350" s="43">
        <v>0</v>
      </c>
      <c r="AH350" s="43">
        <v>0</v>
      </c>
      <c r="AI350" s="43">
        <v>0</v>
      </c>
      <c r="AJ350" s="43">
        <v>0</v>
      </c>
    </row>
    <row r="351" spans="1:36">
      <c r="A351" t="s">
        <v>112</v>
      </c>
      <c r="B351" t="s">
        <v>868</v>
      </c>
      <c r="C351" s="3" t="s">
        <v>111</v>
      </c>
      <c r="D351" s="3" t="s">
        <v>867</v>
      </c>
      <c r="E351" s="40">
        <v>49000</v>
      </c>
      <c r="F351" s="40">
        <v>49000</v>
      </c>
      <c r="G351" s="40">
        <v>49000</v>
      </c>
      <c r="H351" s="40">
        <v>49000</v>
      </c>
      <c r="I351" s="46">
        <v>90.41</v>
      </c>
      <c r="J351" s="46">
        <v>90.41</v>
      </c>
      <c r="K351" s="46">
        <v>97.04</v>
      </c>
      <c r="L351" s="46">
        <v>97.04</v>
      </c>
      <c r="M351" s="43">
        <v>250</v>
      </c>
      <c r="N351" s="43">
        <v>250</v>
      </c>
      <c r="O351" s="43">
        <v>250</v>
      </c>
      <c r="P351" s="43">
        <v>250</v>
      </c>
      <c r="Q351" s="43">
        <v>115</v>
      </c>
      <c r="R351" s="43">
        <v>115</v>
      </c>
      <c r="S351" s="43">
        <v>115</v>
      </c>
      <c r="T351" s="43">
        <v>115</v>
      </c>
      <c r="U351" s="43">
        <v>115</v>
      </c>
      <c r="V351" s="43">
        <v>115</v>
      </c>
      <c r="W351" s="43">
        <v>115</v>
      </c>
      <c r="X351" s="43">
        <v>115</v>
      </c>
      <c r="Y351" s="43">
        <v>250</v>
      </c>
      <c r="Z351" s="43">
        <v>250</v>
      </c>
      <c r="AA351" s="43">
        <v>250</v>
      </c>
      <c r="AB351" s="43">
        <v>250</v>
      </c>
      <c r="AC351" s="43">
        <v>2</v>
      </c>
      <c r="AD351" s="43">
        <v>4</v>
      </c>
      <c r="AE351" s="43">
        <v>8</v>
      </c>
      <c r="AF351" s="43">
        <v>8</v>
      </c>
      <c r="AG351" s="43">
        <v>0</v>
      </c>
      <c r="AH351" s="43">
        <v>0</v>
      </c>
      <c r="AI351" s="43">
        <v>0</v>
      </c>
      <c r="AJ351" s="43">
        <v>0</v>
      </c>
    </row>
    <row r="352" spans="1:36">
      <c r="A352" t="s">
        <v>112</v>
      </c>
      <c r="B352" t="s">
        <v>868</v>
      </c>
      <c r="C352" s="3" t="s">
        <v>111</v>
      </c>
      <c r="D352" s="3" t="s">
        <v>867</v>
      </c>
      <c r="E352" s="40">
        <v>50000</v>
      </c>
      <c r="F352" s="40">
        <v>50000</v>
      </c>
      <c r="G352" s="40">
        <v>50000</v>
      </c>
      <c r="H352" s="40">
        <v>50000</v>
      </c>
      <c r="I352" s="46">
        <v>90.4</v>
      </c>
      <c r="J352" s="46">
        <v>90.4</v>
      </c>
      <c r="K352" s="46">
        <v>97</v>
      </c>
      <c r="L352" s="46">
        <v>97</v>
      </c>
      <c r="M352" s="43">
        <v>250</v>
      </c>
      <c r="N352" s="43">
        <v>250</v>
      </c>
      <c r="O352" s="43">
        <v>250</v>
      </c>
      <c r="P352" s="43">
        <v>250</v>
      </c>
      <c r="Q352" s="43">
        <v>115</v>
      </c>
      <c r="R352" s="43">
        <v>115</v>
      </c>
      <c r="S352" s="43">
        <v>115</v>
      </c>
      <c r="T352" s="43">
        <v>115</v>
      </c>
      <c r="U352" s="43">
        <v>115</v>
      </c>
      <c r="V352" s="43">
        <v>115</v>
      </c>
      <c r="W352" s="43">
        <v>115</v>
      </c>
      <c r="X352" s="43">
        <v>115</v>
      </c>
      <c r="Y352" s="43">
        <v>250</v>
      </c>
      <c r="Z352" s="43">
        <v>250</v>
      </c>
      <c r="AA352" s="43">
        <v>250</v>
      </c>
      <c r="AB352" s="43">
        <v>250</v>
      </c>
      <c r="AC352" s="43">
        <v>2</v>
      </c>
      <c r="AD352" s="43">
        <v>4</v>
      </c>
      <c r="AE352" s="43">
        <v>8</v>
      </c>
      <c r="AF352" s="43">
        <v>8</v>
      </c>
      <c r="AG352" s="43">
        <v>0</v>
      </c>
      <c r="AH352" s="43">
        <v>0</v>
      </c>
      <c r="AI352" s="43">
        <v>0</v>
      </c>
      <c r="AJ352" s="43">
        <v>0</v>
      </c>
    </row>
    <row r="353" spans="1:36">
      <c r="A353" t="s">
        <v>112</v>
      </c>
      <c r="B353" t="s">
        <v>868</v>
      </c>
      <c r="C353" s="3" t="s">
        <v>111</v>
      </c>
      <c r="D353" s="3" t="s">
        <v>867</v>
      </c>
      <c r="E353" s="40">
        <v>51000</v>
      </c>
      <c r="F353" s="40">
        <v>51000</v>
      </c>
      <c r="G353" s="40">
        <v>51000</v>
      </c>
      <c r="H353" s="40">
        <v>51000</v>
      </c>
      <c r="I353" s="46">
        <v>90.39</v>
      </c>
      <c r="J353" s="46">
        <v>90.39</v>
      </c>
      <c r="K353" s="46">
        <v>96.96</v>
      </c>
      <c r="L353" s="46">
        <v>96.96</v>
      </c>
      <c r="M353" s="43">
        <v>250</v>
      </c>
      <c r="N353" s="43">
        <v>250</v>
      </c>
      <c r="O353" s="43">
        <v>250</v>
      </c>
      <c r="P353" s="43">
        <v>250</v>
      </c>
      <c r="Q353" s="43">
        <v>115</v>
      </c>
      <c r="R353" s="43">
        <v>115</v>
      </c>
      <c r="S353" s="43">
        <v>115</v>
      </c>
      <c r="T353" s="43">
        <v>115</v>
      </c>
      <c r="U353" s="43">
        <v>115</v>
      </c>
      <c r="V353" s="43">
        <v>115</v>
      </c>
      <c r="W353" s="43">
        <v>115</v>
      </c>
      <c r="X353" s="43">
        <v>115</v>
      </c>
      <c r="Y353" s="43">
        <v>250</v>
      </c>
      <c r="Z353" s="43">
        <v>250</v>
      </c>
      <c r="AA353" s="43">
        <v>250</v>
      </c>
      <c r="AB353" s="43">
        <v>250</v>
      </c>
      <c r="AC353" s="43">
        <v>2</v>
      </c>
      <c r="AD353" s="43">
        <v>4</v>
      </c>
      <c r="AE353" s="43">
        <v>8</v>
      </c>
      <c r="AF353" s="43">
        <v>8</v>
      </c>
      <c r="AG353" s="43">
        <v>0</v>
      </c>
      <c r="AH353" s="43">
        <v>0</v>
      </c>
      <c r="AI353" s="43">
        <v>0</v>
      </c>
      <c r="AJ353" s="43">
        <v>0</v>
      </c>
    </row>
    <row r="354" spans="1:36">
      <c r="A354" t="s">
        <v>112</v>
      </c>
      <c r="B354" t="s">
        <v>868</v>
      </c>
      <c r="C354" s="3" t="s">
        <v>111</v>
      </c>
      <c r="D354" s="3" t="s">
        <v>867</v>
      </c>
      <c r="E354" s="40">
        <v>52000</v>
      </c>
      <c r="F354" s="40">
        <v>52000</v>
      </c>
      <c r="G354" s="40">
        <v>52000</v>
      </c>
      <c r="H354" s="40">
        <v>52000</v>
      </c>
      <c r="I354" s="46">
        <v>90.38</v>
      </c>
      <c r="J354" s="46">
        <v>90.38</v>
      </c>
      <c r="K354" s="46">
        <v>96.92</v>
      </c>
      <c r="L354" s="46">
        <v>96.92</v>
      </c>
      <c r="M354" s="43">
        <v>250</v>
      </c>
      <c r="N354" s="43">
        <v>250</v>
      </c>
      <c r="O354" s="43">
        <v>250</v>
      </c>
      <c r="P354" s="43">
        <v>250</v>
      </c>
      <c r="Q354" s="43">
        <v>115</v>
      </c>
      <c r="R354" s="43">
        <v>115</v>
      </c>
      <c r="S354" s="43">
        <v>115</v>
      </c>
      <c r="T354" s="43">
        <v>115</v>
      </c>
      <c r="U354" s="43">
        <v>115</v>
      </c>
      <c r="V354" s="43">
        <v>115</v>
      </c>
      <c r="W354" s="43">
        <v>115</v>
      </c>
      <c r="X354" s="43">
        <v>115</v>
      </c>
      <c r="Y354" s="43">
        <v>250</v>
      </c>
      <c r="Z354" s="43">
        <v>250</v>
      </c>
      <c r="AA354" s="43">
        <v>250</v>
      </c>
      <c r="AB354" s="43">
        <v>250</v>
      </c>
      <c r="AC354" s="43">
        <v>2</v>
      </c>
      <c r="AD354" s="43">
        <v>4</v>
      </c>
      <c r="AE354" s="43">
        <v>8</v>
      </c>
      <c r="AF354" s="43">
        <v>8</v>
      </c>
      <c r="AG354" s="43">
        <v>0</v>
      </c>
      <c r="AH354" s="43">
        <v>0</v>
      </c>
      <c r="AI354" s="43">
        <v>0</v>
      </c>
      <c r="AJ354" s="43">
        <v>0</v>
      </c>
    </row>
    <row r="355" spans="1:36">
      <c r="A355" t="s">
        <v>112</v>
      </c>
      <c r="B355" t="s">
        <v>868</v>
      </c>
      <c r="C355" s="3" t="s">
        <v>111</v>
      </c>
      <c r="D355" s="3" t="s">
        <v>867</v>
      </c>
      <c r="E355" s="40">
        <v>53000</v>
      </c>
      <c r="F355" s="40">
        <v>53000</v>
      </c>
      <c r="G355" s="40">
        <v>53000</v>
      </c>
      <c r="H355" s="40">
        <v>53000</v>
      </c>
      <c r="I355" s="46">
        <v>90.38</v>
      </c>
      <c r="J355" s="46">
        <v>90.38</v>
      </c>
      <c r="K355" s="46">
        <v>96.89</v>
      </c>
      <c r="L355" s="46">
        <v>96.89</v>
      </c>
      <c r="M355" s="43">
        <v>250</v>
      </c>
      <c r="N355" s="43">
        <v>250</v>
      </c>
      <c r="O355" s="43">
        <v>250</v>
      </c>
      <c r="P355" s="43">
        <v>250</v>
      </c>
      <c r="Q355" s="43">
        <v>115</v>
      </c>
      <c r="R355" s="43">
        <v>115</v>
      </c>
      <c r="S355" s="43">
        <v>115</v>
      </c>
      <c r="T355" s="43">
        <v>115</v>
      </c>
      <c r="U355" s="43">
        <v>115</v>
      </c>
      <c r="V355" s="43">
        <v>115</v>
      </c>
      <c r="W355" s="43">
        <v>115</v>
      </c>
      <c r="X355" s="43">
        <v>115</v>
      </c>
      <c r="Y355" s="43">
        <v>250</v>
      </c>
      <c r="Z355" s="43">
        <v>250</v>
      </c>
      <c r="AA355" s="43">
        <v>250</v>
      </c>
      <c r="AB355" s="43">
        <v>250</v>
      </c>
      <c r="AC355" s="43">
        <v>2</v>
      </c>
      <c r="AD355" s="43">
        <v>4</v>
      </c>
      <c r="AE355" s="43">
        <v>8</v>
      </c>
      <c r="AF355" s="43">
        <v>8</v>
      </c>
      <c r="AG355" s="43">
        <v>0</v>
      </c>
      <c r="AH355" s="43">
        <v>0</v>
      </c>
      <c r="AI355" s="43">
        <v>0</v>
      </c>
      <c r="AJ355" s="43">
        <v>0</v>
      </c>
    </row>
    <row r="356" spans="1:36">
      <c r="A356" t="s">
        <v>112</v>
      </c>
      <c r="B356" t="s">
        <v>868</v>
      </c>
      <c r="C356" s="3" t="s">
        <v>111</v>
      </c>
      <c r="D356" s="3" t="s">
        <v>867</v>
      </c>
      <c r="E356" s="40">
        <v>54000</v>
      </c>
      <c r="F356" s="40">
        <v>54000</v>
      </c>
      <c r="G356" s="40">
        <v>54000</v>
      </c>
      <c r="H356" s="40">
        <v>54000</v>
      </c>
      <c r="I356" s="46">
        <v>90.37</v>
      </c>
      <c r="J356" s="46">
        <v>90.37</v>
      </c>
      <c r="K356" s="46">
        <v>96.85</v>
      </c>
      <c r="L356" s="46">
        <v>96.85</v>
      </c>
      <c r="M356" s="43">
        <v>250</v>
      </c>
      <c r="N356" s="43">
        <v>250</v>
      </c>
      <c r="O356" s="43">
        <v>250</v>
      </c>
      <c r="P356" s="43">
        <v>250</v>
      </c>
      <c r="Q356" s="43">
        <v>115</v>
      </c>
      <c r="R356" s="43">
        <v>115</v>
      </c>
      <c r="S356" s="43">
        <v>115</v>
      </c>
      <c r="T356" s="43">
        <v>115</v>
      </c>
      <c r="U356" s="43">
        <v>115</v>
      </c>
      <c r="V356" s="43">
        <v>115</v>
      </c>
      <c r="W356" s="43">
        <v>115</v>
      </c>
      <c r="X356" s="43">
        <v>115</v>
      </c>
      <c r="Y356" s="43">
        <v>250</v>
      </c>
      <c r="Z356" s="43">
        <v>250</v>
      </c>
      <c r="AA356" s="43">
        <v>250</v>
      </c>
      <c r="AB356" s="43">
        <v>250</v>
      </c>
      <c r="AC356" s="43">
        <v>2</v>
      </c>
      <c r="AD356" s="43">
        <v>4</v>
      </c>
      <c r="AE356" s="43">
        <v>8</v>
      </c>
      <c r="AF356" s="43">
        <v>8</v>
      </c>
      <c r="AG356" s="43">
        <v>0</v>
      </c>
      <c r="AH356" s="43">
        <v>0</v>
      </c>
      <c r="AI356" s="43">
        <v>0</v>
      </c>
      <c r="AJ356" s="43">
        <v>0</v>
      </c>
    </row>
    <row r="357" spans="1:36">
      <c r="A357" t="s">
        <v>112</v>
      </c>
      <c r="B357" t="s">
        <v>868</v>
      </c>
      <c r="C357" s="3" t="s">
        <v>111</v>
      </c>
      <c r="D357" s="3" t="s">
        <v>867</v>
      </c>
      <c r="E357" s="40">
        <v>55000</v>
      </c>
      <c r="F357" s="40">
        <v>55000</v>
      </c>
      <c r="G357" s="40">
        <v>55000</v>
      </c>
      <c r="H357" s="40">
        <v>55000</v>
      </c>
      <c r="I357" s="46">
        <v>90.36</v>
      </c>
      <c r="J357" s="46">
        <v>90.36</v>
      </c>
      <c r="K357" s="46">
        <v>96.82</v>
      </c>
      <c r="L357" s="46">
        <v>96.82</v>
      </c>
      <c r="M357" s="43">
        <v>250</v>
      </c>
      <c r="N357" s="43">
        <v>250</v>
      </c>
      <c r="O357" s="43">
        <v>250</v>
      </c>
      <c r="P357" s="43">
        <v>250</v>
      </c>
      <c r="Q357" s="43">
        <v>115</v>
      </c>
      <c r="R357" s="43">
        <v>115</v>
      </c>
      <c r="S357" s="43">
        <v>115</v>
      </c>
      <c r="T357" s="43">
        <v>115</v>
      </c>
      <c r="U357" s="43">
        <v>115</v>
      </c>
      <c r="V357" s="43">
        <v>115</v>
      </c>
      <c r="W357" s="43">
        <v>115</v>
      </c>
      <c r="X357" s="43">
        <v>115</v>
      </c>
      <c r="Y357" s="43">
        <v>250</v>
      </c>
      <c r="Z357" s="43">
        <v>250</v>
      </c>
      <c r="AA357" s="43">
        <v>250</v>
      </c>
      <c r="AB357" s="43">
        <v>250</v>
      </c>
      <c r="AC357" s="43">
        <v>2</v>
      </c>
      <c r="AD357" s="43">
        <v>4</v>
      </c>
      <c r="AE357" s="43">
        <v>8</v>
      </c>
      <c r="AF357" s="43">
        <v>8</v>
      </c>
      <c r="AG357" s="43">
        <v>0</v>
      </c>
      <c r="AH357" s="43">
        <v>0</v>
      </c>
      <c r="AI357" s="43">
        <v>0</v>
      </c>
      <c r="AJ357" s="43">
        <v>0</v>
      </c>
    </row>
    <row r="358" spans="1:36">
      <c r="A358" t="s">
        <v>112</v>
      </c>
      <c r="B358" t="s">
        <v>868</v>
      </c>
      <c r="C358" s="3" t="s">
        <v>111</v>
      </c>
      <c r="D358" s="3" t="s">
        <v>867</v>
      </c>
      <c r="E358" s="40">
        <v>56000</v>
      </c>
      <c r="F358" s="40">
        <v>56000</v>
      </c>
      <c r="G358" s="40">
        <v>56000</v>
      </c>
      <c r="H358" s="40">
        <v>56000</v>
      </c>
      <c r="I358" s="46">
        <v>90.36</v>
      </c>
      <c r="J358" s="46">
        <v>90.36</v>
      </c>
      <c r="K358" s="46">
        <v>96.79</v>
      </c>
      <c r="L358" s="46">
        <v>96.79</v>
      </c>
      <c r="M358" s="43">
        <v>250</v>
      </c>
      <c r="N358" s="43">
        <v>250</v>
      </c>
      <c r="O358" s="43">
        <v>250</v>
      </c>
      <c r="P358" s="43">
        <v>250</v>
      </c>
      <c r="Q358" s="43">
        <v>115</v>
      </c>
      <c r="R358" s="43">
        <v>115</v>
      </c>
      <c r="S358" s="43">
        <v>115</v>
      </c>
      <c r="T358" s="43">
        <v>115</v>
      </c>
      <c r="U358" s="43">
        <v>115</v>
      </c>
      <c r="V358" s="43">
        <v>115</v>
      </c>
      <c r="W358" s="43">
        <v>115</v>
      </c>
      <c r="X358" s="43">
        <v>115</v>
      </c>
      <c r="Y358" s="43">
        <v>250</v>
      </c>
      <c r="Z358" s="43">
        <v>250</v>
      </c>
      <c r="AA358" s="43">
        <v>250</v>
      </c>
      <c r="AB358" s="43">
        <v>250</v>
      </c>
      <c r="AC358" s="43">
        <v>2</v>
      </c>
      <c r="AD358" s="43">
        <v>4</v>
      </c>
      <c r="AE358" s="43">
        <v>8</v>
      </c>
      <c r="AF358" s="43">
        <v>8</v>
      </c>
      <c r="AG358" s="43">
        <v>0</v>
      </c>
      <c r="AH358" s="43">
        <v>0</v>
      </c>
      <c r="AI358" s="43">
        <v>0</v>
      </c>
      <c r="AJ358" s="43">
        <v>0</v>
      </c>
    </row>
    <row r="359" spans="1:36">
      <c r="A359" t="s">
        <v>112</v>
      </c>
      <c r="B359" t="s">
        <v>868</v>
      </c>
      <c r="C359" s="3" t="s">
        <v>111</v>
      </c>
      <c r="D359" s="3" t="s">
        <v>867</v>
      </c>
      <c r="E359" s="40">
        <v>57000</v>
      </c>
      <c r="F359" s="40">
        <v>57000</v>
      </c>
      <c r="G359" s="40">
        <v>57000</v>
      </c>
      <c r="H359" s="40">
        <v>57000</v>
      </c>
      <c r="I359" s="46">
        <v>90.35</v>
      </c>
      <c r="J359" s="46">
        <v>90.35</v>
      </c>
      <c r="K359" s="46">
        <v>96.75</v>
      </c>
      <c r="L359" s="46">
        <v>96.75</v>
      </c>
      <c r="M359" s="43">
        <v>250</v>
      </c>
      <c r="N359" s="43">
        <v>250</v>
      </c>
      <c r="O359" s="43">
        <v>250</v>
      </c>
      <c r="P359" s="43">
        <v>250</v>
      </c>
      <c r="Q359" s="43">
        <v>115</v>
      </c>
      <c r="R359" s="43">
        <v>115</v>
      </c>
      <c r="S359" s="43">
        <v>115</v>
      </c>
      <c r="T359" s="43">
        <v>115</v>
      </c>
      <c r="U359" s="43">
        <v>115</v>
      </c>
      <c r="V359" s="43">
        <v>115</v>
      </c>
      <c r="W359" s="43">
        <v>115</v>
      </c>
      <c r="X359" s="43">
        <v>115</v>
      </c>
      <c r="Y359" s="43">
        <v>250</v>
      </c>
      <c r="Z359" s="43">
        <v>250</v>
      </c>
      <c r="AA359" s="43">
        <v>250</v>
      </c>
      <c r="AB359" s="43">
        <v>250</v>
      </c>
      <c r="AC359" s="43">
        <v>2</v>
      </c>
      <c r="AD359" s="43">
        <v>4</v>
      </c>
      <c r="AE359" s="43">
        <v>8</v>
      </c>
      <c r="AF359" s="43">
        <v>8</v>
      </c>
      <c r="AG359" s="43">
        <v>0</v>
      </c>
      <c r="AH359" s="43">
        <v>0</v>
      </c>
      <c r="AI359" s="43">
        <v>0</v>
      </c>
      <c r="AJ359" s="43">
        <v>0</v>
      </c>
    </row>
    <row r="360" spans="1:36">
      <c r="A360" t="s">
        <v>112</v>
      </c>
      <c r="B360" t="s">
        <v>868</v>
      </c>
      <c r="C360" s="3" t="s">
        <v>111</v>
      </c>
      <c r="D360" s="3" t="s">
        <v>867</v>
      </c>
      <c r="E360" s="40">
        <v>58000</v>
      </c>
      <c r="F360" s="40">
        <v>58000</v>
      </c>
      <c r="G360" s="40">
        <v>58000</v>
      </c>
      <c r="H360" s="40">
        <v>58000</v>
      </c>
      <c r="I360" s="46">
        <v>90.34</v>
      </c>
      <c r="J360" s="46">
        <v>90.34</v>
      </c>
      <c r="K360" s="46">
        <v>96.72</v>
      </c>
      <c r="L360" s="46">
        <v>96.72</v>
      </c>
      <c r="M360" s="43">
        <v>250</v>
      </c>
      <c r="N360" s="43">
        <v>250</v>
      </c>
      <c r="O360" s="43">
        <v>250</v>
      </c>
      <c r="P360" s="43">
        <v>250</v>
      </c>
      <c r="Q360" s="43">
        <v>115</v>
      </c>
      <c r="R360" s="43">
        <v>115</v>
      </c>
      <c r="S360" s="43">
        <v>115</v>
      </c>
      <c r="T360" s="43">
        <v>115</v>
      </c>
      <c r="U360" s="43">
        <v>115</v>
      </c>
      <c r="V360" s="43">
        <v>115</v>
      </c>
      <c r="W360" s="43">
        <v>115</v>
      </c>
      <c r="X360" s="43">
        <v>115</v>
      </c>
      <c r="Y360" s="43">
        <v>250</v>
      </c>
      <c r="Z360" s="43">
        <v>250</v>
      </c>
      <c r="AA360" s="43">
        <v>250</v>
      </c>
      <c r="AB360" s="43">
        <v>250</v>
      </c>
      <c r="AC360" s="43">
        <v>2</v>
      </c>
      <c r="AD360" s="43">
        <v>4</v>
      </c>
      <c r="AE360" s="43">
        <v>8</v>
      </c>
      <c r="AF360" s="43">
        <v>8</v>
      </c>
      <c r="AG360" s="43">
        <v>0</v>
      </c>
      <c r="AH360" s="43">
        <v>0</v>
      </c>
      <c r="AI360" s="43">
        <v>0</v>
      </c>
      <c r="AJ360" s="43">
        <v>0</v>
      </c>
    </row>
    <row r="361" spans="1:36">
      <c r="A361" t="s">
        <v>112</v>
      </c>
      <c r="B361" t="s">
        <v>868</v>
      </c>
      <c r="C361" s="3" t="s">
        <v>111</v>
      </c>
      <c r="D361" s="3" t="s">
        <v>867</v>
      </c>
      <c r="E361" s="40">
        <v>59000</v>
      </c>
      <c r="F361" s="40">
        <v>59000</v>
      </c>
      <c r="G361" s="40">
        <v>59000</v>
      </c>
      <c r="H361" s="40">
        <v>59000</v>
      </c>
      <c r="I361" s="46">
        <v>90.34</v>
      </c>
      <c r="J361" s="46">
        <v>90.34</v>
      </c>
      <c r="K361" s="46">
        <v>96.69</v>
      </c>
      <c r="L361" s="46">
        <v>96.69</v>
      </c>
      <c r="M361" s="43">
        <v>250</v>
      </c>
      <c r="N361" s="43">
        <v>250</v>
      </c>
      <c r="O361" s="43">
        <v>250</v>
      </c>
      <c r="P361" s="43">
        <v>250</v>
      </c>
      <c r="Q361" s="43">
        <v>115</v>
      </c>
      <c r="R361" s="43">
        <v>115</v>
      </c>
      <c r="S361" s="43">
        <v>115</v>
      </c>
      <c r="T361" s="43">
        <v>115</v>
      </c>
      <c r="U361" s="43">
        <v>115</v>
      </c>
      <c r="V361" s="43">
        <v>115</v>
      </c>
      <c r="W361" s="43">
        <v>115</v>
      </c>
      <c r="X361" s="43">
        <v>115</v>
      </c>
      <c r="Y361" s="43">
        <v>250</v>
      </c>
      <c r="Z361" s="43">
        <v>250</v>
      </c>
      <c r="AA361" s="43">
        <v>250</v>
      </c>
      <c r="AB361" s="43">
        <v>250</v>
      </c>
      <c r="AC361" s="43">
        <v>2</v>
      </c>
      <c r="AD361" s="43">
        <v>4</v>
      </c>
      <c r="AE361" s="43">
        <v>8</v>
      </c>
      <c r="AF361" s="43">
        <v>8</v>
      </c>
      <c r="AG361" s="43">
        <v>0</v>
      </c>
      <c r="AH361" s="43">
        <v>0</v>
      </c>
      <c r="AI361" s="43">
        <v>0</v>
      </c>
      <c r="AJ361" s="43">
        <v>0</v>
      </c>
    </row>
    <row r="362" spans="1:36">
      <c r="A362" t="s">
        <v>112</v>
      </c>
      <c r="B362" t="s">
        <v>868</v>
      </c>
      <c r="C362" s="3" t="s">
        <v>111</v>
      </c>
      <c r="D362" s="3" t="s">
        <v>867</v>
      </c>
      <c r="E362" s="40">
        <v>60000</v>
      </c>
      <c r="F362" s="40">
        <v>60000</v>
      </c>
      <c r="G362" s="40">
        <v>60000</v>
      </c>
      <c r="H362" s="40">
        <v>60000</v>
      </c>
      <c r="I362" s="46">
        <v>90.33</v>
      </c>
      <c r="J362" s="46">
        <v>90.33</v>
      </c>
      <c r="K362" s="46">
        <v>96.67</v>
      </c>
      <c r="L362" s="46">
        <v>96.67</v>
      </c>
      <c r="M362" s="43">
        <v>250</v>
      </c>
      <c r="N362" s="43">
        <v>250</v>
      </c>
      <c r="O362" s="43">
        <v>250</v>
      </c>
      <c r="P362" s="43">
        <v>250</v>
      </c>
      <c r="Q362" s="43">
        <v>115</v>
      </c>
      <c r="R362" s="43">
        <v>115</v>
      </c>
      <c r="S362" s="43">
        <v>115</v>
      </c>
      <c r="T362" s="43">
        <v>115</v>
      </c>
      <c r="U362" s="43">
        <v>115</v>
      </c>
      <c r="V362" s="43">
        <v>115</v>
      </c>
      <c r="W362" s="43">
        <v>115</v>
      </c>
      <c r="X362" s="43">
        <v>115</v>
      </c>
      <c r="Y362" s="43">
        <v>250</v>
      </c>
      <c r="Z362" s="43">
        <v>250</v>
      </c>
      <c r="AA362" s="43">
        <v>250</v>
      </c>
      <c r="AB362" s="43">
        <v>250</v>
      </c>
      <c r="AC362" s="43">
        <v>2</v>
      </c>
      <c r="AD362" s="43">
        <v>4</v>
      </c>
      <c r="AE362" s="43">
        <v>8</v>
      </c>
      <c r="AF362" s="43">
        <v>8</v>
      </c>
      <c r="AG362" s="43">
        <v>0</v>
      </c>
      <c r="AH362" s="43">
        <v>0</v>
      </c>
      <c r="AI362" s="43">
        <v>0</v>
      </c>
      <c r="AJ362" s="43">
        <v>0</v>
      </c>
    </row>
    <row r="363" spans="1:36">
      <c r="A363" t="s">
        <v>112</v>
      </c>
      <c r="B363" t="s">
        <v>868</v>
      </c>
      <c r="C363" s="3" t="s">
        <v>111</v>
      </c>
      <c r="D363" s="3" t="s">
        <v>867</v>
      </c>
      <c r="E363" s="40">
        <v>61000</v>
      </c>
      <c r="F363" s="40">
        <v>61000</v>
      </c>
      <c r="G363" s="40">
        <v>61000</v>
      </c>
      <c r="H363" s="40">
        <v>61000</v>
      </c>
      <c r="I363" s="46">
        <v>90.33</v>
      </c>
      <c r="J363" s="46">
        <v>90.33</v>
      </c>
      <c r="K363" s="46">
        <v>96.64</v>
      </c>
      <c r="L363" s="46">
        <v>96.64</v>
      </c>
      <c r="M363" s="43">
        <v>250</v>
      </c>
      <c r="N363" s="43">
        <v>250</v>
      </c>
      <c r="O363" s="43">
        <v>250</v>
      </c>
      <c r="P363" s="43">
        <v>250</v>
      </c>
      <c r="Q363" s="43">
        <v>115</v>
      </c>
      <c r="R363" s="43">
        <v>115</v>
      </c>
      <c r="S363" s="43">
        <v>115</v>
      </c>
      <c r="T363" s="43">
        <v>115</v>
      </c>
      <c r="U363" s="43">
        <v>115</v>
      </c>
      <c r="V363" s="43">
        <v>115</v>
      </c>
      <c r="W363" s="43">
        <v>115</v>
      </c>
      <c r="X363" s="43">
        <v>115</v>
      </c>
      <c r="Y363" s="43">
        <v>250</v>
      </c>
      <c r="Z363" s="43">
        <v>250</v>
      </c>
      <c r="AA363" s="43">
        <v>250</v>
      </c>
      <c r="AB363" s="43">
        <v>250</v>
      </c>
      <c r="AC363" s="43">
        <v>2</v>
      </c>
      <c r="AD363" s="43">
        <v>4</v>
      </c>
      <c r="AE363" s="43">
        <v>8</v>
      </c>
      <c r="AF363" s="43">
        <v>8</v>
      </c>
      <c r="AG363" s="43">
        <v>0</v>
      </c>
      <c r="AH363" s="43">
        <v>0</v>
      </c>
      <c r="AI363" s="43">
        <v>0</v>
      </c>
      <c r="AJ363" s="43">
        <v>0</v>
      </c>
    </row>
    <row r="364" spans="1:36">
      <c r="A364" t="s">
        <v>112</v>
      </c>
      <c r="B364" t="s">
        <v>868</v>
      </c>
      <c r="C364" s="3" t="s">
        <v>111</v>
      </c>
      <c r="D364" s="3" t="s">
        <v>867</v>
      </c>
      <c r="E364" s="40">
        <v>62000</v>
      </c>
      <c r="F364" s="40">
        <v>62000</v>
      </c>
      <c r="G364" s="40">
        <v>62000</v>
      </c>
      <c r="H364" s="40">
        <v>62000</v>
      </c>
      <c r="I364" s="46">
        <v>90.32</v>
      </c>
      <c r="J364" s="46">
        <v>90.32</v>
      </c>
      <c r="K364" s="46">
        <v>96.61</v>
      </c>
      <c r="L364" s="46">
        <v>96.61</v>
      </c>
      <c r="M364" s="43">
        <v>250</v>
      </c>
      <c r="N364" s="43">
        <v>250</v>
      </c>
      <c r="O364" s="43">
        <v>250</v>
      </c>
      <c r="P364" s="43">
        <v>250</v>
      </c>
      <c r="Q364" s="43">
        <v>115</v>
      </c>
      <c r="R364" s="43">
        <v>115</v>
      </c>
      <c r="S364" s="43">
        <v>115</v>
      </c>
      <c r="T364" s="43">
        <v>115</v>
      </c>
      <c r="U364" s="43">
        <v>115</v>
      </c>
      <c r="V364" s="43">
        <v>115</v>
      </c>
      <c r="W364" s="43">
        <v>115</v>
      </c>
      <c r="X364" s="43">
        <v>115</v>
      </c>
      <c r="Y364" s="43">
        <v>250</v>
      </c>
      <c r="Z364" s="43">
        <v>250</v>
      </c>
      <c r="AA364" s="43">
        <v>250</v>
      </c>
      <c r="AB364" s="43">
        <v>250</v>
      </c>
      <c r="AC364" s="43">
        <v>2</v>
      </c>
      <c r="AD364" s="43">
        <v>4</v>
      </c>
      <c r="AE364" s="43">
        <v>8</v>
      </c>
      <c r="AF364" s="43">
        <v>8</v>
      </c>
      <c r="AG364" s="43">
        <v>0</v>
      </c>
      <c r="AH364" s="43">
        <v>0</v>
      </c>
      <c r="AI364" s="43">
        <v>0</v>
      </c>
      <c r="AJ364" s="43">
        <v>0</v>
      </c>
    </row>
    <row r="365" spans="1:36">
      <c r="A365" t="s">
        <v>112</v>
      </c>
      <c r="B365" t="s">
        <v>868</v>
      </c>
      <c r="C365" s="3" t="s">
        <v>111</v>
      </c>
      <c r="D365" s="3" t="s">
        <v>867</v>
      </c>
      <c r="E365" s="40">
        <v>63000</v>
      </c>
      <c r="F365" s="40">
        <v>63000</v>
      </c>
      <c r="G365" s="40">
        <v>63000</v>
      </c>
      <c r="H365" s="40">
        <v>63000</v>
      </c>
      <c r="I365" s="46">
        <v>90.32</v>
      </c>
      <c r="J365" s="46">
        <v>90.32</v>
      </c>
      <c r="K365" s="46">
        <v>96.59</v>
      </c>
      <c r="L365" s="46">
        <v>96.59</v>
      </c>
      <c r="M365" s="43">
        <v>250</v>
      </c>
      <c r="N365" s="43">
        <v>250</v>
      </c>
      <c r="O365" s="43">
        <v>250</v>
      </c>
      <c r="P365" s="43">
        <v>250</v>
      </c>
      <c r="Q365" s="43">
        <v>115</v>
      </c>
      <c r="R365" s="43">
        <v>115</v>
      </c>
      <c r="S365" s="43">
        <v>115</v>
      </c>
      <c r="T365" s="43">
        <v>115</v>
      </c>
      <c r="U365" s="43">
        <v>115</v>
      </c>
      <c r="V365" s="43">
        <v>115</v>
      </c>
      <c r="W365" s="43">
        <v>115</v>
      </c>
      <c r="X365" s="43">
        <v>115</v>
      </c>
      <c r="Y365" s="43">
        <v>250</v>
      </c>
      <c r="Z365" s="43">
        <v>250</v>
      </c>
      <c r="AA365" s="43">
        <v>250</v>
      </c>
      <c r="AB365" s="43">
        <v>250</v>
      </c>
      <c r="AC365" s="43">
        <v>2</v>
      </c>
      <c r="AD365" s="43">
        <v>4</v>
      </c>
      <c r="AE365" s="43">
        <v>8</v>
      </c>
      <c r="AF365" s="43">
        <v>8</v>
      </c>
      <c r="AG365" s="43">
        <v>0</v>
      </c>
      <c r="AH365" s="43">
        <v>0</v>
      </c>
      <c r="AI365" s="43">
        <v>0</v>
      </c>
      <c r="AJ365" s="43">
        <v>0</v>
      </c>
    </row>
    <row r="366" spans="1:36">
      <c r="A366" t="s">
        <v>112</v>
      </c>
      <c r="B366" t="s">
        <v>868</v>
      </c>
      <c r="C366" s="3" t="s">
        <v>111</v>
      </c>
      <c r="D366" s="3" t="s">
        <v>867</v>
      </c>
      <c r="E366" s="40">
        <v>64000</v>
      </c>
      <c r="F366" s="40">
        <v>64000</v>
      </c>
      <c r="G366" s="40">
        <v>64000</v>
      </c>
      <c r="H366" s="40">
        <v>64000</v>
      </c>
      <c r="I366" s="46">
        <v>90.31</v>
      </c>
      <c r="J366" s="46">
        <v>90.31</v>
      </c>
      <c r="K366" s="46">
        <v>96.56</v>
      </c>
      <c r="L366" s="46">
        <v>96.56</v>
      </c>
      <c r="M366" s="43">
        <v>250</v>
      </c>
      <c r="N366" s="43">
        <v>250</v>
      </c>
      <c r="O366" s="43">
        <v>250</v>
      </c>
      <c r="P366" s="43">
        <v>250</v>
      </c>
      <c r="Q366" s="43">
        <v>115</v>
      </c>
      <c r="R366" s="43">
        <v>115</v>
      </c>
      <c r="S366" s="43">
        <v>115</v>
      </c>
      <c r="T366" s="43">
        <v>115</v>
      </c>
      <c r="U366" s="43">
        <v>115</v>
      </c>
      <c r="V366" s="43">
        <v>115</v>
      </c>
      <c r="W366" s="43">
        <v>115</v>
      </c>
      <c r="X366" s="43">
        <v>115</v>
      </c>
      <c r="Y366" s="43">
        <v>250</v>
      </c>
      <c r="Z366" s="43">
        <v>250</v>
      </c>
      <c r="AA366" s="43">
        <v>250</v>
      </c>
      <c r="AB366" s="43">
        <v>250</v>
      </c>
      <c r="AC366" s="43">
        <v>2</v>
      </c>
      <c r="AD366" s="43">
        <v>4</v>
      </c>
      <c r="AE366" s="43">
        <v>8</v>
      </c>
      <c r="AF366" s="43">
        <v>8</v>
      </c>
      <c r="AG366" s="43">
        <v>0</v>
      </c>
      <c r="AH366" s="43">
        <v>0</v>
      </c>
      <c r="AI366" s="43">
        <v>0</v>
      </c>
      <c r="AJ366" s="43">
        <v>0</v>
      </c>
    </row>
    <row r="367" spans="1:36">
      <c r="A367" t="s">
        <v>112</v>
      </c>
      <c r="B367" t="s">
        <v>868</v>
      </c>
      <c r="C367" s="3" t="s">
        <v>111</v>
      </c>
      <c r="D367" s="3" t="s">
        <v>867</v>
      </c>
      <c r="E367" s="40">
        <v>65000</v>
      </c>
      <c r="F367" s="40">
        <v>65000</v>
      </c>
      <c r="G367" s="40">
        <v>65000</v>
      </c>
      <c r="H367" s="40">
        <v>65000</v>
      </c>
      <c r="I367" s="46">
        <v>90.31</v>
      </c>
      <c r="J367" s="46">
        <v>90.31</v>
      </c>
      <c r="K367" s="46">
        <v>96.54</v>
      </c>
      <c r="L367" s="46">
        <v>96.54</v>
      </c>
      <c r="M367" s="43">
        <v>250</v>
      </c>
      <c r="N367" s="43">
        <v>250</v>
      </c>
      <c r="O367" s="43">
        <v>250</v>
      </c>
      <c r="P367" s="43">
        <v>250</v>
      </c>
      <c r="Q367" s="43">
        <v>115</v>
      </c>
      <c r="R367" s="43">
        <v>115</v>
      </c>
      <c r="S367" s="43">
        <v>115</v>
      </c>
      <c r="T367" s="43">
        <v>115</v>
      </c>
      <c r="U367" s="43">
        <v>115</v>
      </c>
      <c r="V367" s="43">
        <v>115</v>
      </c>
      <c r="W367" s="43">
        <v>115</v>
      </c>
      <c r="X367" s="43">
        <v>115</v>
      </c>
      <c r="Y367" s="43">
        <v>250</v>
      </c>
      <c r="Z367" s="43">
        <v>250</v>
      </c>
      <c r="AA367" s="43">
        <v>250</v>
      </c>
      <c r="AB367" s="43">
        <v>250</v>
      </c>
      <c r="AC367" s="43">
        <v>2</v>
      </c>
      <c r="AD367" s="43">
        <v>4</v>
      </c>
      <c r="AE367" s="43">
        <v>8</v>
      </c>
      <c r="AF367" s="43">
        <v>8</v>
      </c>
      <c r="AG367" s="43">
        <v>0</v>
      </c>
      <c r="AH367" s="43">
        <v>0</v>
      </c>
      <c r="AI367" s="43">
        <v>0</v>
      </c>
      <c r="AJ367" s="43">
        <v>0</v>
      </c>
    </row>
    <row r="368" spans="1:36">
      <c r="A368" t="s">
        <v>112</v>
      </c>
      <c r="B368" t="s">
        <v>868</v>
      </c>
      <c r="C368" s="3" t="s">
        <v>111</v>
      </c>
      <c r="D368" s="3" t="s">
        <v>867</v>
      </c>
      <c r="E368" s="40">
        <v>66000</v>
      </c>
      <c r="F368" s="40">
        <v>66000</v>
      </c>
      <c r="G368" s="40">
        <v>66000</v>
      </c>
      <c r="H368" s="40">
        <v>66000</v>
      </c>
      <c r="I368" s="46">
        <v>90.3</v>
      </c>
      <c r="J368" s="46">
        <v>90.3</v>
      </c>
      <c r="K368" s="46">
        <v>96.52</v>
      </c>
      <c r="L368" s="46">
        <v>96.52</v>
      </c>
      <c r="M368" s="43">
        <v>250</v>
      </c>
      <c r="N368" s="43">
        <v>250</v>
      </c>
      <c r="O368" s="43">
        <v>250</v>
      </c>
      <c r="P368" s="43">
        <v>250</v>
      </c>
      <c r="Q368" s="43">
        <v>115</v>
      </c>
      <c r="R368" s="43">
        <v>115</v>
      </c>
      <c r="S368" s="43">
        <v>115</v>
      </c>
      <c r="T368" s="43">
        <v>115</v>
      </c>
      <c r="U368" s="43">
        <v>115</v>
      </c>
      <c r="V368" s="43">
        <v>115</v>
      </c>
      <c r="W368" s="43">
        <v>115</v>
      </c>
      <c r="X368" s="43">
        <v>115</v>
      </c>
      <c r="Y368" s="43">
        <v>250</v>
      </c>
      <c r="Z368" s="43">
        <v>250</v>
      </c>
      <c r="AA368" s="43">
        <v>250</v>
      </c>
      <c r="AB368" s="43">
        <v>250</v>
      </c>
      <c r="AC368" s="43">
        <v>2</v>
      </c>
      <c r="AD368" s="43">
        <v>4</v>
      </c>
      <c r="AE368" s="43">
        <v>8</v>
      </c>
      <c r="AF368" s="43">
        <v>8</v>
      </c>
      <c r="AG368" s="43">
        <v>0</v>
      </c>
      <c r="AH368" s="43">
        <v>0</v>
      </c>
      <c r="AI368" s="43">
        <v>0</v>
      </c>
      <c r="AJ368" s="43">
        <v>0</v>
      </c>
    </row>
    <row r="369" spans="1:36">
      <c r="A369" t="s">
        <v>112</v>
      </c>
      <c r="B369" t="s">
        <v>868</v>
      </c>
      <c r="C369" s="3" t="s">
        <v>111</v>
      </c>
      <c r="D369" s="3" t="s">
        <v>867</v>
      </c>
      <c r="E369" s="40">
        <v>67000</v>
      </c>
      <c r="F369" s="40">
        <v>67000</v>
      </c>
      <c r="G369" s="40">
        <v>67000</v>
      </c>
      <c r="H369" s="40">
        <v>67000</v>
      </c>
      <c r="I369" s="46">
        <v>90.3</v>
      </c>
      <c r="J369" s="46">
        <v>90.3</v>
      </c>
      <c r="K369" s="46">
        <v>96.49</v>
      </c>
      <c r="L369" s="46">
        <v>96.49</v>
      </c>
      <c r="M369" s="43">
        <v>250</v>
      </c>
      <c r="N369" s="43">
        <v>250</v>
      </c>
      <c r="O369" s="43">
        <v>250</v>
      </c>
      <c r="P369" s="43">
        <v>250</v>
      </c>
      <c r="Q369" s="43">
        <v>115</v>
      </c>
      <c r="R369" s="43">
        <v>115</v>
      </c>
      <c r="S369" s="43">
        <v>115</v>
      </c>
      <c r="T369" s="43">
        <v>115</v>
      </c>
      <c r="U369" s="43">
        <v>115</v>
      </c>
      <c r="V369" s="43">
        <v>115</v>
      </c>
      <c r="W369" s="43">
        <v>115</v>
      </c>
      <c r="X369" s="43">
        <v>115</v>
      </c>
      <c r="Y369" s="43">
        <v>250</v>
      </c>
      <c r="Z369" s="43">
        <v>250</v>
      </c>
      <c r="AA369" s="43">
        <v>250</v>
      </c>
      <c r="AB369" s="43">
        <v>250</v>
      </c>
      <c r="AC369" s="43">
        <v>2</v>
      </c>
      <c r="AD369" s="43">
        <v>4</v>
      </c>
      <c r="AE369" s="43">
        <v>8</v>
      </c>
      <c r="AF369" s="43">
        <v>8</v>
      </c>
      <c r="AG369" s="43">
        <v>0</v>
      </c>
      <c r="AH369" s="43">
        <v>0</v>
      </c>
      <c r="AI369" s="43">
        <v>0</v>
      </c>
      <c r="AJ369" s="43">
        <v>0</v>
      </c>
    </row>
    <row r="370" spans="1:36">
      <c r="A370" t="s">
        <v>112</v>
      </c>
      <c r="B370" t="s">
        <v>868</v>
      </c>
      <c r="C370" s="3" t="s">
        <v>111</v>
      </c>
      <c r="D370" s="3" t="s">
        <v>867</v>
      </c>
      <c r="E370" s="40">
        <v>68000</v>
      </c>
      <c r="F370" s="40">
        <v>68000</v>
      </c>
      <c r="G370" s="40">
        <v>68000</v>
      </c>
      <c r="H370" s="40">
        <v>68000</v>
      </c>
      <c r="I370" s="46">
        <v>90.29</v>
      </c>
      <c r="J370" s="46">
        <v>90.29</v>
      </c>
      <c r="K370" s="46">
        <v>96.47</v>
      </c>
      <c r="L370" s="46">
        <v>96.47</v>
      </c>
      <c r="M370" s="43">
        <v>250</v>
      </c>
      <c r="N370" s="43">
        <v>250</v>
      </c>
      <c r="O370" s="43">
        <v>250</v>
      </c>
      <c r="P370" s="43">
        <v>250</v>
      </c>
      <c r="Q370" s="43">
        <v>115</v>
      </c>
      <c r="R370" s="43">
        <v>115</v>
      </c>
      <c r="S370" s="43">
        <v>115</v>
      </c>
      <c r="T370" s="43">
        <v>115</v>
      </c>
      <c r="U370" s="43">
        <v>115</v>
      </c>
      <c r="V370" s="43">
        <v>115</v>
      </c>
      <c r="W370" s="43">
        <v>115</v>
      </c>
      <c r="X370" s="43">
        <v>115</v>
      </c>
      <c r="Y370" s="43">
        <v>250</v>
      </c>
      <c r="Z370" s="43">
        <v>250</v>
      </c>
      <c r="AA370" s="43">
        <v>250</v>
      </c>
      <c r="AB370" s="43">
        <v>250</v>
      </c>
      <c r="AC370" s="43">
        <v>2</v>
      </c>
      <c r="AD370" s="43">
        <v>4</v>
      </c>
      <c r="AE370" s="43">
        <v>8</v>
      </c>
      <c r="AF370" s="43">
        <v>8</v>
      </c>
      <c r="AG370" s="43">
        <v>0</v>
      </c>
      <c r="AH370" s="43">
        <v>0</v>
      </c>
      <c r="AI370" s="43">
        <v>0</v>
      </c>
      <c r="AJ370" s="43">
        <v>0</v>
      </c>
    </row>
    <row r="371" spans="1:36">
      <c r="A371" t="s">
        <v>112</v>
      </c>
      <c r="B371" t="s">
        <v>868</v>
      </c>
      <c r="C371" s="3" t="s">
        <v>111</v>
      </c>
      <c r="D371" s="3" t="s">
        <v>867</v>
      </c>
      <c r="E371" s="40">
        <v>69000</v>
      </c>
      <c r="F371" s="40">
        <v>69000</v>
      </c>
      <c r="G371" s="40">
        <v>69000</v>
      </c>
      <c r="H371" s="40">
        <v>69000</v>
      </c>
      <c r="I371" s="46">
        <v>90.29</v>
      </c>
      <c r="J371" s="46">
        <v>90.29</v>
      </c>
      <c r="K371" s="46">
        <v>96.45</v>
      </c>
      <c r="L371" s="46">
        <v>96.45</v>
      </c>
      <c r="M371" s="43">
        <v>250</v>
      </c>
      <c r="N371" s="43">
        <v>250</v>
      </c>
      <c r="O371" s="43">
        <v>250</v>
      </c>
      <c r="P371" s="43">
        <v>250</v>
      </c>
      <c r="Q371" s="43">
        <v>115</v>
      </c>
      <c r="R371" s="43">
        <v>115</v>
      </c>
      <c r="S371" s="43">
        <v>115</v>
      </c>
      <c r="T371" s="43">
        <v>115</v>
      </c>
      <c r="U371" s="43">
        <v>115</v>
      </c>
      <c r="V371" s="43">
        <v>115</v>
      </c>
      <c r="W371" s="43">
        <v>115</v>
      </c>
      <c r="X371" s="43">
        <v>115</v>
      </c>
      <c r="Y371" s="43">
        <v>250</v>
      </c>
      <c r="Z371" s="43">
        <v>250</v>
      </c>
      <c r="AA371" s="43">
        <v>250</v>
      </c>
      <c r="AB371" s="43">
        <v>250</v>
      </c>
      <c r="AC371" s="43">
        <v>2</v>
      </c>
      <c r="AD371" s="43">
        <v>4</v>
      </c>
      <c r="AE371" s="43">
        <v>8</v>
      </c>
      <c r="AF371" s="43">
        <v>8</v>
      </c>
      <c r="AG371" s="43">
        <v>0</v>
      </c>
      <c r="AH371" s="43">
        <v>0</v>
      </c>
      <c r="AI371" s="43">
        <v>0</v>
      </c>
      <c r="AJ371" s="43">
        <v>0</v>
      </c>
    </row>
    <row r="372" spans="1:36">
      <c r="A372" t="s">
        <v>112</v>
      </c>
      <c r="B372" t="s">
        <v>868</v>
      </c>
      <c r="C372" s="3" t="s">
        <v>111</v>
      </c>
      <c r="D372" s="3" t="s">
        <v>867</v>
      </c>
      <c r="E372" s="40">
        <v>70000</v>
      </c>
      <c r="F372" s="40">
        <v>70000</v>
      </c>
      <c r="G372" s="40">
        <v>70000</v>
      </c>
      <c r="H372" s="40">
        <v>70000</v>
      </c>
      <c r="I372" s="46">
        <v>90.29</v>
      </c>
      <c r="J372" s="46">
        <v>90.29</v>
      </c>
      <c r="K372" s="46">
        <v>96.43</v>
      </c>
      <c r="L372" s="46">
        <v>96.43</v>
      </c>
      <c r="M372" s="43">
        <v>250</v>
      </c>
      <c r="N372" s="43">
        <v>250</v>
      </c>
      <c r="O372" s="43">
        <v>250</v>
      </c>
      <c r="P372" s="43">
        <v>250</v>
      </c>
      <c r="Q372" s="43">
        <v>115</v>
      </c>
      <c r="R372" s="43">
        <v>115</v>
      </c>
      <c r="S372" s="43">
        <v>115</v>
      </c>
      <c r="T372" s="43">
        <v>115</v>
      </c>
      <c r="U372" s="43">
        <v>115</v>
      </c>
      <c r="V372" s="43">
        <v>115</v>
      </c>
      <c r="W372" s="43">
        <v>115</v>
      </c>
      <c r="X372" s="43">
        <v>115</v>
      </c>
      <c r="Y372" s="43">
        <v>250</v>
      </c>
      <c r="Z372" s="43">
        <v>250</v>
      </c>
      <c r="AA372" s="43">
        <v>250</v>
      </c>
      <c r="AB372" s="43">
        <v>250</v>
      </c>
      <c r="AC372" s="43">
        <v>2</v>
      </c>
      <c r="AD372" s="43">
        <v>4</v>
      </c>
      <c r="AE372" s="43">
        <v>8</v>
      </c>
      <c r="AF372" s="43">
        <v>8</v>
      </c>
      <c r="AG372" s="43">
        <v>0</v>
      </c>
      <c r="AH372" s="43">
        <v>0</v>
      </c>
      <c r="AI372" s="43">
        <v>0</v>
      </c>
      <c r="AJ372" s="43">
        <v>0</v>
      </c>
    </row>
    <row r="373" spans="1:36">
      <c r="A373" t="s">
        <v>112</v>
      </c>
      <c r="B373" t="s">
        <v>868</v>
      </c>
      <c r="C373" s="3" t="s">
        <v>111</v>
      </c>
      <c r="D373" s="3" t="s">
        <v>867</v>
      </c>
      <c r="E373" s="40">
        <v>71000</v>
      </c>
      <c r="F373" s="40">
        <v>71000</v>
      </c>
      <c r="G373" s="40">
        <v>71000</v>
      </c>
      <c r="H373" s="40">
        <v>71000</v>
      </c>
      <c r="I373" s="46">
        <v>90.28</v>
      </c>
      <c r="J373" s="46">
        <v>90.28</v>
      </c>
      <c r="K373" s="46">
        <v>96.41</v>
      </c>
      <c r="L373" s="46">
        <v>96.41</v>
      </c>
      <c r="M373" s="43">
        <v>250</v>
      </c>
      <c r="N373" s="43">
        <v>250</v>
      </c>
      <c r="O373" s="43">
        <v>250</v>
      </c>
      <c r="P373" s="43">
        <v>250</v>
      </c>
      <c r="Q373" s="43">
        <v>115</v>
      </c>
      <c r="R373" s="43">
        <v>115</v>
      </c>
      <c r="S373" s="43">
        <v>115</v>
      </c>
      <c r="T373" s="43">
        <v>115</v>
      </c>
      <c r="U373" s="43">
        <v>115</v>
      </c>
      <c r="V373" s="43">
        <v>115</v>
      </c>
      <c r="W373" s="43">
        <v>115</v>
      </c>
      <c r="X373" s="43">
        <v>115</v>
      </c>
      <c r="Y373" s="43">
        <v>250</v>
      </c>
      <c r="Z373" s="43">
        <v>250</v>
      </c>
      <c r="AA373" s="43">
        <v>250</v>
      </c>
      <c r="AB373" s="43">
        <v>250</v>
      </c>
      <c r="AC373" s="43">
        <v>2</v>
      </c>
      <c r="AD373" s="43">
        <v>4</v>
      </c>
      <c r="AE373" s="43">
        <v>8</v>
      </c>
      <c r="AF373" s="43">
        <v>8</v>
      </c>
      <c r="AG373" s="43">
        <v>0</v>
      </c>
      <c r="AH373" s="43">
        <v>0</v>
      </c>
      <c r="AI373" s="43">
        <v>0</v>
      </c>
      <c r="AJ373" s="43">
        <v>0</v>
      </c>
    </row>
    <row r="374" spans="1:36">
      <c r="A374" t="s">
        <v>112</v>
      </c>
      <c r="B374" t="s">
        <v>868</v>
      </c>
      <c r="C374" s="3" t="s">
        <v>111</v>
      </c>
      <c r="D374" s="3" t="s">
        <v>867</v>
      </c>
      <c r="E374" s="40">
        <v>72000</v>
      </c>
      <c r="F374" s="40">
        <v>72000</v>
      </c>
      <c r="G374" s="40">
        <v>72000</v>
      </c>
      <c r="H374" s="40">
        <v>72000</v>
      </c>
      <c r="I374" s="46">
        <v>90.28</v>
      </c>
      <c r="J374" s="46">
        <v>90.28</v>
      </c>
      <c r="K374" s="46">
        <v>96.39</v>
      </c>
      <c r="L374" s="46">
        <v>96.39</v>
      </c>
      <c r="M374" s="43">
        <v>250</v>
      </c>
      <c r="N374" s="43">
        <v>250</v>
      </c>
      <c r="O374" s="43">
        <v>250</v>
      </c>
      <c r="P374" s="43">
        <v>250</v>
      </c>
      <c r="Q374" s="43">
        <v>115</v>
      </c>
      <c r="R374" s="43">
        <v>115</v>
      </c>
      <c r="S374" s="43">
        <v>115</v>
      </c>
      <c r="T374" s="43">
        <v>115</v>
      </c>
      <c r="U374" s="43">
        <v>115</v>
      </c>
      <c r="V374" s="43">
        <v>115</v>
      </c>
      <c r="W374" s="43">
        <v>115</v>
      </c>
      <c r="X374" s="43">
        <v>115</v>
      </c>
      <c r="Y374" s="43">
        <v>250</v>
      </c>
      <c r="Z374" s="43">
        <v>250</v>
      </c>
      <c r="AA374" s="43">
        <v>250</v>
      </c>
      <c r="AB374" s="43">
        <v>250</v>
      </c>
      <c r="AC374" s="43">
        <v>2</v>
      </c>
      <c r="AD374" s="43">
        <v>4</v>
      </c>
      <c r="AE374" s="43">
        <v>8</v>
      </c>
      <c r="AF374" s="43">
        <v>8</v>
      </c>
      <c r="AG374" s="43">
        <v>0</v>
      </c>
      <c r="AH374" s="43">
        <v>0</v>
      </c>
      <c r="AI374" s="43">
        <v>0</v>
      </c>
      <c r="AJ374" s="43">
        <v>0</v>
      </c>
    </row>
    <row r="375" spans="1:36">
      <c r="A375" t="s">
        <v>112</v>
      </c>
      <c r="B375" t="s">
        <v>868</v>
      </c>
      <c r="C375" s="3" t="s">
        <v>111</v>
      </c>
      <c r="D375" s="3" t="s">
        <v>867</v>
      </c>
      <c r="E375" s="40">
        <v>73000</v>
      </c>
      <c r="F375" s="40">
        <v>73000</v>
      </c>
      <c r="G375" s="40">
        <v>73000</v>
      </c>
      <c r="H375" s="40">
        <v>73000</v>
      </c>
      <c r="I375" s="46">
        <v>90.27</v>
      </c>
      <c r="J375" s="46">
        <v>90.27</v>
      </c>
      <c r="K375" s="46">
        <v>96.37</v>
      </c>
      <c r="L375" s="46">
        <v>96.37</v>
      </c>
      <c r="M375" s="43">
        <v>250</v>
      </c>
      <c r="N375" s="43">
        <v>250</v>
      </c>
      <c r="O375" s="43">
        <v>250</v>
      </c>
      <c r="P375" s="43">
        <v>250</v>
      </c>
      <c r="Q375" s="43">
        <v>115</v>
      </c>
      <c r="R375" s="43">
        <v>115</v>
      </c>
      <c r="S375" s="43">
        <v>115</v>
      </c>
      <c r="T375" s="43">
        <v>115</v>
      </c>
      <c r="U375" s="43">
        <v>115</v>
      </c>
      <c r="V375" s="43">
        <v>115</v>
      </c>
      <c r="W375" s="43">
        <v>115</v>
      </c>
      <c r="X375" s="43">
        <v>115</v>
      </c>
      <c r="Y375" s="43">
        <v>250</v>
      </c>
      <c r="Z375" s="43">
        <v>250</v>
      </c>
      <c r="AA375" s="43">
        <v>250</v>
      </c>
      <c r="AB375" s="43">
        <v>250</v>
      </c>
      <c r="AC375" s="43">
        <v>2</v>
      </c>
      <c r="AD375" s="43">
        <v>4</v>
      </c>
      <c r="AE375" s="43">
        <v>8</v>
      </c>
      <c r="AF375" s="43">
        <v>8</v>
      </c>
      <c r="AG375" s="43">
        <v>0</v>
      </c>
      <c r="AH375" s="43">
        <v>0</v>
      </c>
      <c r="AI375" s="43">
        <v>0</v>
      </c>
      <c r="AJ375" s="43">
        <v>0</v>
      </c>
    </row>
    <row r="376" spans="1:36">
      <c r="A376" t="s">
        <v>112</v>
      </c>
      <c r="B376" t="s">
        <v>868</v>
      </c>
      <c r="C376" s="3" t="s">
        <v>111</v>
      </c>
      <c r="D376" s="3" t="s">
        <v>867</v>
      </c>
      <c r="E376" s="40">
        <v>74000</v>
      </c>
      <c r="F376" s="40">
        <v>74000</v>
      </c>
      <c r="G376" s="40">
        <v>74000</v>
      </c>
      <c r="H376" s="40">
        <v>74000</v>
      </c>
      <c r="I376" s="46">
        <v>90.27</v>
      </c>
      <c r="J376" s="46">
        <v>90.27</v>
      </c>
      <c r="K376" s="46">
        <v>96.35</v>
      </c>
      <c r="L376" s="46">
        <v>96.35</v>
      </c>
      <c r="M376" s="43">
        <v>250</v>
      </c>
      <c r="N376" s="43">
        <v>250</v>
      </c>
      <c r="O376" s="43">
        <v>250</v>
      </c>
      <c r="P376" s="43">
        <v>250</v>
      </c>
      <c r="Q376" s="43">
        <v>115</v>
      </c>
      <c r="R376" s="43">
        <v>115</v>
      </c>
      <c r="S376" s="43">
        <v>115</v>
      </c>
      <c r="T376" s="43">
        <v>115</v>
      </c>
      <c r="U376" s="43">
        <v>115</v>
      </c>
      <c r="V376" s="43">
        <v>115</v>
      </c>
      <c r="W376" s="43">
        <v>115</v>
      </c>
      <c r="X376" s="43">
        <v>115</v>
      </c>
      <c r="Y376" s="43">
        <v>250</v>
      </c>
      <c r="Z376" s="43">
        <v>250</v>
      </c>
      <c r="AA376" s="43">
        <v>250</v>
      </c>
      <c r="AB376" s="43">
        <v>250</v>
      </c>
      <c r="AC376" s="43">
        <v>2</v>
      </c>
      <c r="AD376" s="43">
        <v>4</v>
      </c>
      <c r="AE376" s="43">
        <v>8</v>
      </c>
      <c r="AF376" s="43">
        <v>8</v>
      </c>
      <c r="AG376" s="43">
        <v>0</v>
      </c>
      <c r="AH376" s="43">
        <v>0</v>
      </c>
      <c r="AI376" s="43">
        <v>0</v>
      </c>
      <c r="AJ376" s="43">
        <v>0</v>
      </c>
    </row>
    <row r="377" spans="1:36">
      <c r="A377" t="s">
        <v>112</v>
      </c>
      <c r="B377" t="s">
        <v>868</v>
      </c>
      <c r="C377" s="3" t="s">
        <v>111</v>
      </c>
      <c r="D377" s="3" t="s">
        <v>867</v>
      </c>
      <c r="E377" s="40">
        <v>75000</v>
      </c>
      <c r="F377" s="40">
        <v>75000</v>
      </c>
      <c r="G377" s="40">
        <v>75000</v>
      </c>
      <c r="H377" s="40">
        <v>75000</v>
      </c>
      <c r="I377" s="46">
        <v>90.27</v>
      </c>
      <c r="J377" s="46">
        <v>90.27</v>
      </c>
      <c r="K377" s="46">
        <v>96.33</v>
      </c>
      <c r="L377" s="46">
        <v>96.33</v>
      </c>
      <c r="M377" s="43">
        <v>250</v>
      </c>
      <c r="N377" s="43">
        <v>250</v>
      </c>
      <c r="O377" s="43">
        <v>250</v>
      </c>
      <c r="P377" s="43">
        <v>250</v>
      </c>
      <c r="Q377" s="43">
        <v>115</v>
      </c>
      <c r="R377" s="43">
        <v>115</v>
      </c>
      <c r="S377" s="43">
        <v>115</v>
      </c>
      <c r="T377" s="43">
        <v>115</v>
      </c>
      <c r="U377" s="43">
        <v>115</v>
      </c>
      <c r="V377" s="43">
        <v>115</v>
      </c>
      <c r="W377" s="43">
        <v>115</v>
      </c>
      <c r="X377" s="43">
        <v>115</v>
      </c>
      <c r="Y377" s="43">
        <v>250</v>
      </c>
      <c r="Z377" s="43">
        <v>250</v>
      </c>
      <c r="AA377" s="43">
        <v>250</v>
      </c>
      <c r="AB377" s="43">
        <v>250</v>
      </c>
      <c r="AC377" s="43">
        <v>2</v>
      </c>
      <c r="AD377" s="43">
        <v>4</v>
      </c>
      <c r="AE377" s="43">
        <v>8</v>
      </c>
      <c r="AF377" s="43">
        <v>8</v>
      </c>
      <c r="AG377" s="43">
        <v>0</v>
      </c>
      <c r="AH377" s="43">
        <v>0</v>
      </c>
      <c r="AI377" s="43">
        <v>0</v>
      </c>
      <c r="AJ377" s="43">
        <v>0</v>
      </c>
    </row>
    <row r="378" spans="1:36">
      <c r="A378" t="s">
        <v>112</v>
      </c>
      <c r="B378" t="s">
        <v>868</v>
      </c>
      <c r="C378" s="3" t="s">
        <v>111</v>
      </c>
      <c r="D378" s="3" t="s">
        <v>867</v>
      </c>
      <c r="E378" s="40">
        <v>76000</v>
      </c>
      <c r="F378" s="40">
        <v>76000</v>
      </c>
      <c r="G378" s="40">
        <v>76000</v>
      </c>
      <c r="H378" s="40">
        <v>76000</v>
      </c>
      <c r="I378" s="46">
        <v>90.26</v>
      </c>
      <c r="J378" s="46">
        <v>90.26</v>
      </c>
      <c r="K378" s="46">
        <v>96.32</v>
      </c>
      <c r="L378" s="46">
        <v>96.32</v>
      </c>
      <c r="M378" s="43">
        <v>250</v>
      </c>
      <c r="N378" s="43">
        <v>250</v>
      </c>
      <c r="O378" s="43">
        <v>250</v>
      </c>
      <c r="P378" s="43">
        <v>250</v>
      </c>
      <c r="Q378" s="43">
        <v>115</v>
      </c>
      <c r="R378" s="43">
        <v>115</v>
      </c>
      <c r="S378" s="43">
        <v>115</v>
      </c>
      <c r="T378" s="43">
        <v>115</v>
      </c>
      <c r="U378" s="43">
        <v>115</v>
      </c>
      <c r="V378" s="43">
        <v>115</v>
      </c>
      <c r="W378" s="43">
        <v>115</v>
      </c>
      <c r="X378" s="43">
        <v>115</v>
      </c>
      <c r="Y378" s="43">
        <v>250</v>
      </c>
      <c r="Z378" s="43">
        <v>250</v>
      </c>
      <c r="AA378" s="43">
        <v>250</v>
      </c>
      <c r="AB378" s="43">
        <v>250</v>
      </c>
      <c r="AC378" s="43">
        <v>2</v>
      </c>
      <c r="AD378" s="43">
        <v>4</v>
      </c>
      <c r="AE378" s="43">
        <v>8</v>
      </c>
      <c r="AF378" s="43">
        <v>8</v>
      </c>
      <c r="AG378" s="43">
        <v>0</v>
      </c>
      <c r="AH378" s="43">
        <v>0</v>
      </c>
      <c r="AI378" s="43">
        <v>0</v>
      </c>
      <c r="AJ378" s="43">
        <v>0</v>
      </c>
    </row>
    <row r="379" spans="1:36">
      <c r="A379" t="s">
        <v>112</v>
      </c>
      <c r="B379" t="s">
        <v>868</v>
      </c>
      <c r="C379" s="3" t="s">
        <v>111</v>
      </c>
      <c r="D379" s="3" t="s">
        <v>867</v>
      </c>
      <c r="E379" s="40">
        <v>77000</v>
      </c>
      <c r="F379" s="40">
        <v>77000</v>
      </c>
      <c r="G379" s="40">
        <v>77000</v>
      </c>
      <c r="H379" s="40">
        <v>77000</v>
      </c>
      <c r="I379" s="46">
        <v>90.26</v>
      </c>
      <c r="J379" s="46">
        <v>90.26</v>
      </c>
      <c r="K379" s="46">
        <v>96.3</v>
      </c>
      <c r="L379" s="46">
        <v>96.3</v>
      </c>
      <c r="M379" s="43">
        <v>250</v>
      </c>
      <c r="N379" s="43">
        <v>250</v>
      </c>
      <c r="O379" s="43">
        <v>250</v>
      </c>
      <c r="P379" s="43">
        <v>250</v>
      </c>
      <c r="Q379" s="43">
        <v>115</v>
      </c>
      <c r="R379" s="43">
        <v>115</v>
      </c>
      <c r="S379" s="43">
        <v>115</v>
      </c>
      <c r="T379" s="43">
        <v>115</v>
      </c>
      <c r="U379" s="43">
        <v>115</v>
      </c>
      <c r="V379" s="43">
        <v>115</v>
      </c>
      <c r="W379" s="43">
        <v>115</v>
      </c>
      <c r="X379" s="43">
        <v>115</v>
      </c>
      <c r="Y379" s="43">
        <v>250</v>
      </c>
      <c r="Z379" s="43">
        <v>250</v>
      </c>
      <c r="AA379" s="43">
        <v>250</v>
      </c>
      <c r="AB379" s="43">
        <v>250</v>
      </c>
      <c r="AC379" s="43">
        <v>2</v>
      </c>
      <c r="AD379" s="43">
        <v>4</v>
      </c>
      <c r="AE379" s="43">
        <v>8</v>
      </c>
      <c r="AF379" s="43">
        <v>8</v>
      </c>
      <c r="AG379" s="43">
        <v>0</v>
      </c>
      <c r="AH379" s="43">
        <v>0</v>
      </c>
      <c r="AI379" s="43">
        <v>0</v>
      </c>
      <c r="AJ379" s="43">
        <v>0</v>
      </c>
    </row>
    <row r="380" spans="1:36">
      <c r="A380" t="s">
        <v>112</v>
      </c>
      <c r="B380" t="s">
        <v>868</v>
      </c>
      <c r="C380" s="3" t="s">
        <v>111</v>
      </c>
      <c r="D380" s="3" t="s">
        <v>867</v>
      </c>
      <c r="E380" s="40">
        <v>78000</v>
      </c>
      <c r="F380" s="40">
        <v>78000</v>
      </c>
      <c r="G380" s="40">
        <v>78000</v>
      </c>
      <c r="H380" s="40">
        <v>78000</v>
      </c>
      <c r="I380" s="46">
        <v>90.26</v>
      </c>
      <c r="J380" s="46">
        <v>90.26</v>
      </c>
      <c r="K380" s="46">
        <v>96.28</v>
      </c>
      <c r="L380" s="46">
        <v>96.28</v>
      </c>
      <c r="M380" s="43">
        <v>250</v>
      </c>
      <c r="N380" s="43">
        <v>250</v>
      </c>
      <c r="O380" s="43">
        <v>250</v>
      </c>
      <c r="P380" s="43">
        <v>250</v>
      </c>
      <c r="Q380" s="43">
        <v>115</v>
      </c>
      <c r="R380" s="43">
        <v>115</v>
      </c>
      <c r="S380" s="43">
        <v>115</v>
      </c>
      <c r="T380" s="43">
        <v>115</v>
      </c>
      <c r="U380" s="43">
        <v>115</v>
      </c>
      <c r="V380" s="43">
        <v>115</v>
      </c>
      <c r="W380" s="43">
        <v>115</v>
      </c>
      <c r="X380" s="43">
        <v>115</v>
      </c>
      <c r="Y380" s="43">
        <v>250</v>
      </c>
      <c r="Z380" s="43">
        <v>250</v>
      </c>
      <c r="AA380" s="43">
        <v>250</v>
      </c>
      <c r="AB380" s="43">
        <v>250</v>
      </c>
      <c r="AC380" s="43">
        <v>2</v>
      </c>
      <c r="AD380" s="43">
        <v>4</v>
      </c>
      <c r="AE380" s="43">
        <v>8</v>
      </c>
      <c r="AF380" s="43">
        <v>8</v>
      </c>
      <c r="AG380" s="43">
        <v>0</v>
      </c>
      <c r="AH380" s="43">
        <v>0</v>
      </c>
      <c r="AI380" s="43">
        <v>0</v>
      </c>
      <c r="AJ380" s="43">
        <v>0</v>
      </c>
    </row>
    <row r="381" spans="1:36">
      <c r="A381" t="s">
        <v>112</v>
      </c>
      <c r="B381" t="s">
        <v>868</v>
      </c>
      <c r="C381" s="3" t="s">
        <v>111</v>
      </c>
      <c r="D381" s="3" t="s">
        <v>867</v>
      </c>
      <c r="E381" s="40">
        <v>79000</v>
      </c>
      <c r="F381" s="40">
        <v>79000</v>
      </c>
      <c r="G381" s="40">
        <v>79000</v>
      </c>
      <c r="H381" s="40">
        <v>79000</v>
      </c>
      <c r="I381" s="46">
        <v>90.25</v>
      </c>
      <c r="J381" s="46">
        <v>90.25</v>
      </c>
      <c r="K381" s="46">
        <v>96.27</v>
      </c>
      <c r="L381" s="46">
        <v>96.27</v>
      </c>
      <c r="M381" s="43">
        <v>250</v>
      </c>
      <c r="N381" s="43">
        <v>250</v>
      </c>
      <c r="O381" s="43">
        <v>250</v>
      </c>
      <c r="P381" s="43">
        <v>250</v>
      </c>
      <c r="Q381" s="43">
        <v>115</v>
      </c>
      <c r="R381" s="43">
        <v>115</v>
      </c>
      <c r="S381" s="43">
        <v>115</v>
      </c>
      <c r="T381" s="43">
        <v>115</v>
      </c>
      <c r="U381" s="43">
        <v>115</v>
      </c>
      <c r="V381" s="43">
        <v>115</v>
      </c>
      <c r="W381" s="43">
        <v>115</v>
      </c>
      <c r="X381" s="43">
        <v>115</v>
      </c>
      <c r="Y381" s="43">
        <v>250</v>
      </c>
      <c r="Z381" s="43">
        <v>250</v>
      </c>
      <c r="AA381" s="43">
        <v>250</v>
      </c>
      <c r="AB381" s="43">
        <v>250</v>
      </c>
      <c r="AC381" s="43">
        <v>2</v>
      </c>
      <c r="AD381" s="43">
        <v>4</v>
      </c>
      <c r="AE381" s="43">
        <v>8</v>
      </c>
      <c r="AF381" s="43">
        <v>8</v>
      </c>
      <c r="AG381" s="43">
        <v>0</v>
      </c>
      <c r="AH381" s="43">
        <v>0</v>
      </c>
      <c r="AI381" s="43">
        <v>0</v>
      </c>
      <c r="AJ381" s="43">
        <v>0</v>
      </c>
    </row>
    <row r="382" spans="1:36">
      <c r="A382" t="s">
        <v>112</v>
      </c>
      <c r="B382" t="s">
        <v>868</v>
      </c>
      <c r="C382" s="3" t="s">
        <v>111</v>
      </c>
      <c r="D382" s="3" t="s">
        <v>867</v>
      </c>
      <c r="E382" s="40">
        <v>80000</v>
      </c>
      <c r="F382" s="40">
        <v>80000</v>
      </c>
      <c r="G382" s="40">
        <v>80000</v>
      </c>
      <c r="H382" s="40">
        <v>80000</v>
      </c>
      <c r="I382" s="46">
        <v>90.25</v>
      </c>
      <c r="J382" s="46">
        <v>90.25</v>
      </c>
      <c r="K382" s="46">
        <v>96.25</v>
      </c>
      <c r="L382" s="46">
        <v>96.25</v>
      </c>
      <c r="M382" s="43">
        <v>250</v>
      </c>
      <c r="N382" s="43">
        <v>250</v>
      </c>
      <c r="O382" s="43">
        <v>250</v>
      </c>
      <c r="P382" s="43">
        <v>250</v>
      </c>
      <c r="Q382" s="43">
        <v>115</v>
      </c>
      <c r="R382" s="43">
        <v>115</v>
      </c>
      <c r="S382" s="43">
        <v>115</v>
      </c>
      <c r="T382" s="43">
        <v>115</v>
      </c>
      <c r="U382" s="43">
        <v>115</v>
      </c>
      <c r="V382" s="43">
        <v>115</v>
      </c>
      <c r="W382" s="43">
        <v>115</v>
      </c>
      <c r="X382" s="43">
        <v>115</v>
      </c>
      <c r="Y382" s="43">
        <v>250</v>
      </c>
      <c r="Z382" s="43">
        <v>250</v>
      </c>
      <c r="AA382" s="43">
        <v>250</v>
      </c>
      <c r="AB382" s="43">
        <v>250</v>
      </c>
      <c r="AC382" s="43">
        <v>2</v>
      </c>
      <c r="AD382" s="43">
        <v>4</v>
      </c>
      <c r="AE382" s="43">
        <v>8</v>
      </c>
      <c r="AF382" s="43">
        <v>8</v>
      </c>
      <c r="AG382" s="43">
        <v>0</v>
      </c>
      <c r="AH382" s="43">
        <v>0</v>
      </c>
      <c r="AI382" s="43">
        <v>0</v>
      </c>
      <c r="AJ382" s="43">
        <v>0</v>
      </c>
    </row>
    <row r="383" spans="1:36">
      <c r="A383" t="s">
        <v>112</v>
      </c>
      <c r="B383" t="s">
        <v>868</v>
      </c>
      <c r="C383" s="3" t="s">
        <v>111</v>
      </c>
      <c r="D383" s="3" t="s">
        <v>867</v>
      </c>
      <c r="E383" s="40">
        <v>81000</v>
      </c>
      <c r="F383" s="40">
        <v>81000</v>
      </c>
      <c r="G383" s="40">
        <v>81000</v>
      </c>
      <c r="H383" s="40">
        <v>81000</v>
      </c>
      <c r="I383" s="46">
        <v>90.25</v>
      </c>
      <c r="J383" s="46">
        <v>90.25</v>
      </c>
      <c r="K383" s="46">
        <v>96.23</v>
      </c>
      <c r="L383" s="46">
        <v>96.23</v>
      </c>
      <c r="M383" s="43">
        <v>250</v>
      </c>
      <c r="N383" s="43">
        <v>250</v>
      </c>
      <c r="O383" s="43">
        <v>250</v>
      </c>
      <c r="P383" s="43">
        <v>250</v>
      </c>
      <c r="Q383" s="43">
        <v>115</v>
      </c>
      <c r="R383" s="43">
        <v>115</v>
      </c>
      <c r="S383" s="43">
        <v>115</v>
      </c>
      <c r="T383" s="43">
        <v>115</v>
      </c>
      <c r="U383" s="43">
        <v>115</v>
      </c>
      <c r="V383" s="43">
        <v>115</v>
      </c>
      <c r="W383" s="43">
        <v>115</v>
      </c>
      <c r="X383" s="43">
        <v>115</v>
      </c>
      <c r="Y383" s="43">
        <v>250</v>
      </c>
      <c r="Z383" s="43">
        <v>250</v>
      </c>
      <c r="AA383" s="43">
        <v>250</v>
      </c>
      <c r="AB383" s="43">
        <v>250</v>
      </c>
      <c r="AC383" s="43">
        <v>2</v>
      </c>
      <c r="AD383" s="43">
        <v>4</v>
      </c>
      <c r="AE383" s="43">
        <v>8</v>
      </c>
      <c r="AF383" s="43">
        <v>8</v>
      </c>
      <c r="AG383" s="43">
        <v>0</v>
      </c>
      <c r="AH383" s="43">
        <v>0</v>
      </c>
      <c r="AI383" s="43">
        <v>0</v>
      </c>
      <c r="AJ383" s="43">
        <v>0</v>
      </c>
    </row>
    <row r="384" spans="1:36">
      <c r="A384" t="s">
        <v>112</v>
      </c>
      <c r="B384" t="s">
        <v>868</v>
      </c>
      <c r="C384" s="3" t="s">
        <v>111</v>
      </c>
      <c r="D384" s="3" t="s">
        <v>867</v>
      </c>
      <c r="E384" s="40">
        <v>82000</v>
      </c>
      <c r="F384" s="40">
        <v>82000</v>
      </c>
      <c r="G384" s="40">
        <v>82000</v>
      </c>
      <c r="H384" s="40">
        <v>82000</v>
      </c>
      <c r="I384" s="46">
        <v>90.24</v>
      </c>
      <c r="J384" s="46">
        <v>90.24</v>
      </c>
      <c r="K384" s="46">
        <v>96.22</v>
      </c>
      <c r="L384" s="46">
        <v>96.22</v>
      </c>
      <c r="M384" s="43">
        <v>250</v>
      </c>
      <c r="N384" s="43">
        <v>250</v>
      </c>
      <c r="O384" s="43">
        <v>250</v>
      </c>
      <c r="P384" s="43">
        <v>250</v>
      </c>
      <c r="Q384" s="43">
        <v>115</v>
      </c>
      <c r="R384" s="43">
        <v>115</v>
      </c>
      <c r="S384" s="43">
        <v>115</v>
      </c>
      <c r="T384" s="43">
        <v>115</v>
      </c>
      <c r="U384" s="43">
        <v>115</v>
      </c>
      <c r="V384" s="43">
        <v>115</v>
      </c>
      <c r="W384" s="43">
        <v>115</v>
      </c>
      <c r="X384" s="43">
        <v>115</v>
      </c>
      <c r="Y384" s="43">
        <v>250</v>
      </c>
      <c r="Z384" s="43">
        <v>250</v>
      </c>
      <c r="AA384" s="43">
        <v>250</v>
      </c>
      <c r="AB384" s="43">
        <v>250</v>
      </c>
      <c r="AC384" s="43">
        <v>2</v>
      </c>
      <c r="AD384" s="43">
        <v>4</v>
      </c>
      <c r="AE384" s="43">
        <v>8</v>
      </c>
      <c r="AF384" s="43">
        <v>8</v>
      </c>
      <c r="AG384" s="43">
        <v>0</v>
      </c>
      <c r="AH384" s="43">
        <v>0</v>
      </c>
      <c r="AI384" s="43">
        <v>0</v>
      </c>
      <c r="AJ384" s="43">
        <v>0</v>
      </c>
    </row>
    <row r="385" spans="1:36">
      <c r="A385" t="s">
        <v>112</v>
      </c>
      <c r="B385" t="s">
        <v>868</v>
      </c>
      <c r="C385" s="3" t="s">
        <v>111</v>
      </c>
      <c r="D385" s="3" t="s">
        <v>867</v>
      </c>
      <c r="E385" s="40">
        <v>83000</v>
      </c>
      <c r="F385" s="40">
        <v>83000</v>
      </c>
      <c r="G385" s="40">
        <v>83000</v>
      </c>
      <c r="H385" s="40">
        <v>83000</v>
      </c>
      <c r="I385" s="46">
        <v>90.24</v>
      </c>
      <c r="J385" s="46">
        <v>90.24</v>
      </c>
      <c r="K385" s="46">
        <v>96.2</v>
      </c>
      <c r="L385" s="46">
        <v>96.2</v>
      </c>
      <c r="M385" s="43">
        <v>250</v>
      </c>
      <c r="N385" s="43">
        <v>250</v>
      </c>
      <c r="O385" s="43">
        <v>250</v>
      </c>
      <c r="P385" s="43">
        <v>250</v>
      </c>
      <c r="Q385" s="43">
        <v>115</v>
      </c>
      <c r="R385" s="43">
        <v>115</v>
      </c>
      <c r="S385" s="43">
        <v>115</v>
      </c>
      <c r="T385" s="43">
        <v>115</v>
      </c>
      <c r="U385" s="43">
        <v>115</v>
      </c>
      <c r="V385" s="43">
        <v>115</v>
      </c>
      <c r="W385" s="43">
        <v>115</v>
      </c>
      <c r="X385" s="43">
        <v>115</v>
      </c>
      <c r="Y385" s="43">
        <v>250</v>
      </c>
      <c r="Z385" s="43">
        <v>250</v>
      </c>
      <c r="AA385" s="43">
        <v>250</v>
      </c>
      <c r="AB385" s="43">
        <v>250</v>
      </c>
      <c r="AC385" s="43">
        <v>2</v>
      </c>
      <c r="AD385" s="43">
        <v>4</v>
      </c>
      <c r="AE385" s="43">
        <v>8</v>
      </c>
      <c r="AF385" s="43">
        <v>8</v>
      </c>
      <c r="AG385" s="43">
        <v>0</v>
      </c>
      <c r="AH385" s="43">
        <v>0</v>
      </c>
      <c r="AI385" s="43">
        <v>0</v>
      </c>
      <c r="AJ385" s="43">
        <v>0</v>
      </c>
    </row>
    <row r="386" spans="1:36">
      <c r="A386" t="s">
        <v>112</v>
      </c>
      <c r="B386" t="s">
        <v>868</v>
      </c>
      <c r="C386" s="3" t="s">
        <v>111</v>
      </c>
      <c r="D386" s="3" t="s">
        <v>867</v>
      </c>
      <c r="E386" s="40">
        <v>84000</v>
      </c>
      <c r="F386" s="40">
        <v>84000</v>
      </c>
      <c r="G386" s="40">
        <v>84000</v>
      </c>
      <c r="H386" s="40">
        <v>84000</v>
      </c>
      <c r="I386" s="46">
        <v>90.24</v>
      </c>
      <c r="J386" s="46">
        <v>90.24</v>
      </c>
      <c r="K386" s="46">
        <v>96.19</v>
      </c>
      <c r="L386" s="46">
        <v>96.19</v>
      </c>
      <c r="M386" s="43">
        <v>250</v>
      </c>
      <c r="N386" s="43">
        <v>250</v>
      </c>
      <c r="O386" s="43">
        <v>250</v>
      </c>
      <c r="P386" s="43">
        <v>250</v>
      </c>
      <c r="Q386" s="43">
        <v>115</v>
      </c>
      <c r="R386" s="43">
        <v>115</v>
      </c>
      <c r="S386" s="43">
        <v>115</v>
      </c>
      <c r="T386" s="43">
        <v>115</v>
      </c>
      <c r="U386" s="43">
        <v>115</v>
      </c>
      <c r="V386" s="43">
        <v>115</v>
      </c>
      <c r="W386" s="43">
        <v>115</v>
      </c>
      <c r="X386" s="43">
        <v>115</v>
      </c>
      <c r="Y386" s="43">
        <v>250</v>
      </c>
      <c r="Z386" s="43">
        <v>250</v>
      </c>
      <c r="AA386" s="43">
        <v>250</v>
      </c>
      <c r="AB386" s="43">
        <v>250</v>
      </c>
      <c r="AC386" s="43">
        <v>2</v>
      </c>
      <c r="AD386" s="43">
        <v>4</v>
      </c>
      <c r="AE386" s="43">
        <v>8</v>
      </c>
      <c r="AF386" s="43">
        <v>8</v>
      </c>
      <c r="AG386" s="43">
        <v>0</v>
      </c>
      <c r="AH386" s="43">
        <v>0</v>
      </c>
      <c r="AI386" s="43">
        <v>0</v>
      </c>
      <c r="AJ386" s="43">
        <v>0</v>
      </c>
    </row>
    <row r="387" spans="1:36">
      <c r="A387" t="s">
        <v>112</v>
      </c>
      <c r="B387" t="s">
        <v>868</v>
      </c>
      <c r="C387" s="3" t="s">
        <v>111</v>
      </c>
      <c r="D387" s="3" t="s">
        <v>867</v>
      </c>
      <c r="E387" s="40">
        <v>85000</v>
      </c>
      <c r="F387" s="40">
        <v>85000</v>
      </c>
      <c r="G387" s="40">
        <v>85000</v>
      </c>
      <c r="H387" s="40">
        <v>85000</v>
      </c>
      <c r="I387" s="46">
        <v>90.24</v>
      </c>
      <c r="J387" s="46">
        <v>90.24</v>
      </c>
      <c r="K387" s="46">
        <v>96.18</v>
      </c>
      <c r="L387" s="46">
        <v>96.18</v>
      </c>
      <c r="M387" s="43">
        <v>250</v>
      </c>
      <c r="N387" s="43">
        <v>250</v>
      </c>
      <c r="O387" s="43">
        <v>250</v>
      </c>
      <c r="P387" s="43">
        <v>250</v>
      </c>
      <c r="Q387" s="43">
        <v>115</v>
      </c>
      <c r="R387" s="43">
        <v>115</v>
      </c>
      <c r="S387" s="43">
        <v>115</v>
      </c>
      <c r="T387" s="43">
        <v>115</v>
      </c>
      <c r="U387" s="43">
        <v>115</v>
      </c>
      <c r="V387" s="43">
        <v>115</v>
      </c>
      <c r="W387" s="43">
        <v>115</v>
      </c>
      <c r="X387" s="43">
        <v>115</v>
      </c>
      <c r="Y387" s="43">
        <v>250</v>
      </c>
      <c r="Z387" s="43">
        <v>250</v>
      </c>
      <c r="AA387" s="43">
        <v>250</v>
      </c>
      <c r="AB387" s="43">
        <v>250</v>
      </c>
      <c r="AC387" s="43">
        <v>2</v>
      </c>
      <c r="AD387" s="43">
        <v>4</v>
      </c>
      <c r="AE387" s="43">
        <v>8</v>
      </c>
      <c r="AF387" s="43">
        <v>8</v>
      </c>
      <c r="AG387" s="43">
        <v>0</v>
      </c>
      <c r="AH387" s="43">
        <v>0</v>
      </c>
      <c r="AI387" s="43">
        <v>0</v>
      </c>
      <c r="AJ387" s="43">
        <v>0</v>
      </c>
    </row>
    <row r="388" spans="1:36">
      <c r="A388" t="s">
        <v>112</v>
      </c>
      <c r="B388" t="s">
        <v>868</v>
      </c>
      <c r="C388" s="3" t="s">
        <v>111</v>
      </c>
      <c r="D388" s="3" t="s">
        <v>867</v>
      </c>
      <c r="E388" s="40">
        <v>86000</v>
      </c>
      <c r="F388" s="40">
        <v>86000</v>
      </c>
      <c r="G388" s="40">
        <v>86000</v>
      </c>
      <c r="H388" s="40">
        <v>86000</v>
      </c>
      <c r="I388" s="46">
        <v>90.23</v>
      </c>
      <c r="J388" s="46">
        <v>90.23</v>
      </c>
      <c r="K388" s="46">
        <v>96.16</v>
      </c>
      <c r="L388" s="46">
        <v>96.16</v>
      </c>
      <c r="M388" s="43">
        <v>250</v>
      </c>
      <c r="N388" s="43">
        <v>250</v>
      </c>
      <c r="O388" s="43">
        <v>250</v>
      </c>
      <c r="P388" s="43">
        <v>250</v>
      </c>
      <c r="Q388" s="43">
        <v>115</v>
      </c>
      <c r="R388" s="43">
        <v>115</v>
      </c>
      <c r="S388" s="43">
        <v>115</v>
      </c>
      <c r="T388" s="43">
        <v>115</v>
      </c>
      <c r="U388" s="43">
        <v>115</v>
      </c>
      <c r="V388" s="43">
        <v>115</v>
      </c>
      <c r="W388" s="43">
        <v>115</v>
      </c>
      <c r="X388" s="43">
        <v>115</v>
      </c>
      <c r="Y388" s="43">
        <v>250</v>
      </c>
      <c r="Z388" s="43">
        <v>250</v>
      </c>
      <c r="AA388" s="43">
        <v>250</v>
      </c>
      <c r="AB388" s="43">
        <v>250</v>
      </c>
      <c r="AC388" s="43">
        <v>2</v>
      </c>
      <c r="AD388" s="43">
        <v>4</v>
      </c>
      <c r="AE388" s="43">
        <v>8</v>
      </c>
      <c r="AF388" s="43">
        <v>8</v>
      </c>
      <c r="AG388" s="43">
        <v>0</v>
      </c>
      <c r="AH388" s="43">
        <v>0</v>
      </c>
      <c r="AI388" s="43">
        <v>0</v>
      </c>
      <c r="AJ388" s="43">
        <v>0</v>
      </c>
    </row>
    <row r="389" spans="1:36">
      <c r="A389" t="s">
        <v>112</v>
      </c>
      <c r="B389" t="s">
        <v>868</v>
      </c>
      <c r="C389" s="3" t="s">
        <v>111</v>
      </c>
      <c r="D389" s="3" t="s">
        <v>867</v>
      </c>
      <c r="E389" s="40">
        <v>87000</v>
      </c>
      <c r="F389" s="40">
        <v>87000</v>
      </c>
      <c r="G389" s="40">
        <v>87000</v>
      </c>
      <c r="H389" s="40">
        <v>87000</v>
      </c>
      <c r="I389" s="46">
        <v>90.23</v>
      </c>
      <c r="J389" s="46">
        <v>90.23</v>
      </c>
      <c r="K389" s="46">
        <v>96.15</v>
      </c>
      <c r="L389" s="46">
        <v>96.15</v>
      </c>
      <c r="M389" s="43">
        <v>250</v>
      </c>
      <c r="N389" s="43">
        <v>250</v>
      </c>
      <c r="O389" s="43">
        <v>250</v>
      </c>
      <c r="P389" s="43">
        <v>250</v>
      </c>
      <c r="Q389" s="43">
        <v>115</v>
      </c>
      <c r="R389" s="43">
        <v>115</v>
      </c>
      <c r="S389" s="43">
        <v>115</v>
      </c>
      <c r="T389" s="43">
        <v>115</v>
      </c>
      <c r="U389" s="43">
        <v>115</v>
      </c>
      <c r="V389" s="43">
        <v>115</v>
      </c>
      <c r="W389" s="43">
        <v>115</v>
      </c>
      <c r="X389" s="43">
        <v>115</v>
      </c>
      <c r="Y389" s="43">
        <v>250</v>
      </c>
      <c r="Z389" s="43">
        <v>250</v>
      </c>
      <c r="AA389" s="43">
        <v>250</v>
      </c>
      <c r="AB389" s="43">
        <v>250</v>
      </c>
      <c r="AC389" s="43">
        <v>2</v>
      </c>
      <c r="AD389" s="43">
        <v>4</v>
      </c>
      <c r="AE389" s="43">
        <v>8</v>
      </c>
      <c r="AF389" s="43">
        <v>8</v>
      </c>
      <c r="AG389" s="43">
        <v>0</v>
      </c>
      <c r="AH389" s="43">
        <v>0</v>
      </c>
      <c r="AI389" s="43">
        <v>0</v>
      </c>
      <c r="AJ389" s="43">
        <v>0</v>
      </c>
    </row>
    <row r="390" spans="1:36">
      <c r="A390" t="s">
        <v>112</v>
      </c>
      <c r="B390" t="s">
        <v>868</v>
      </c>
      <c r="C390" s="3" t="s">
        <v>111</v>
      </c>
      <c r="D390" s="3" t="s">
        <v>867</v>
      </c>
      <c r="E390" s="40">
        <v>88000</v>
      </c>
      <c r="F390" s="40">
        <v>88000</v>
      </c>
      <c r="G390" s="40">
        <v>88000</v>
      </c>
      <c r="H390" s="40">
        <v>88000</v>
      </c>
      <c r="I390" s="46">
        <v>90.23</v>
      </c>
      <c r="J390" s="46">
        <v>90.23</v>
      </c>
      <c r="K390" s="46">
        <v>96.14</v>
      </c>
      <c r="L390" s="46">
        <v>96.14</v>
      </c>
      <c r="M390" s="43">
        <v>250</v>
      </c>
      <c r="N390" s="43">
        <v>250</v>
      </c>
      <c r="O390" s="43">
        <v>250</v>
      </c>
      <c r="P390" s="43">
        <v>250</v>
      </c>
      <c r="Q390" s="43">
        <v>115</v>
      </c>
      <c r="R390" s="43">
        <v>115</v>
      </c>
      <c r="S390" s="43">
        <v>115</v>
      </c>
      <c r="T390" s="43">
        <v>115</v>
      </c>
      <c r="U390" s="43">
        <v>115</v>
      </c>
      <c r="V390" s="43">
        <v>115</v>
      </c>
      <c r="W390" s="43">
        <v>115</v>
      </c>
      <c r="X390" s="43">
        <v>115</v>
      </c>
      <c r="Y390" s="43">
        <v>250</v>
      </c>
      <c r="Z390" s="43">
        <v>250</v>
      </c>
      <c r="AA390" s="43">
        <v>250</v>
      </c>
      <c r="AB390" s="43">
        <v>250</v>
      </c>
      <c r="AC390" s="43">
        <v>2</v>
      </c>
      <c r="AD390" s="43">
        <v>4</v>
      </c>
      <c r="AE390" s="43">
        <v>8</v>
      </c>
      <c r="AF390" s="43">
        <v>8</v>
      </c>
      <c r="AG390" s="43">
        <v>0</v>
      </c>
      <c r="AH390" s="43">
        <v>0</v>
      </c>
      <c r="AI390" s="43">
        <v>0</v>
      </c>
      <c r="AJ390" s="43">
        <v>0</v>
      </c>
    </row>
    <row r="391" spans="1:36">
      <c r="A391" t="s">
        <v>112</v>
      </c>
      <c r="B391" t="s">
        <v>868</v>
      </c>
      <c r="C391" s="3" t="s">
        <v>111</v>
      </c>
      <c r="D391" s="3" t="s">
        <v>867</v>
      </c>
      <c r="E391" s="40">
        <v>89000</v>
      </c>
      <c r="F391" s="40">
        <v>89000</v>
      </c>
      <c r="G391" s="40">
        <v>89000</v>
      </c>
      <c r="H391" s="40">
        <v>89000</v>
      </c>
      <c r="I391" s="46">
        <v>90.22</v>
      </c>
      <c r="J391" s="46">
        <v>90.22</v>
      </c>
      <c r="K391" s="46">
        <v>96.12</v>
      </c>
      <c r="L391" s="46">
        <v>96.12</v>
      </c>
      <c r="M391" s="43">
        <v>250</v>
      </c>
      <c r="N391" s="43">
        <v>250</v>
      </c>
      <c r="O391" s="43">
        <v>250</v>
      </c>
      <c r="P391" s="43">
        <v>250</v>
      </c>
      <c r="Q391" s="43">
        <v>115</v>
      </c>
      <c r="R391" s="43">
        <v>115</v>
      </c>
      <c r="S391" s="43">
        <v>115</v>
      </c>
      <c r="T391" s="43">
        <v>115</v>
      </c>
      <c r="U391" s="43">
        <v>115</v>
      </c>
      <c r="V391" s="43">
        <v>115</v>
      </c>
      <c r="W391" s="43">
        <v>115</v>
      </c>
      <c r="X391" s="43">
        <v>115</v>
      </c>
      <c r="Y391" s="43">
        <v>250</v>
      </c>
      <c r="Z391" s="43">
        <v>250</v>
      </c>
      <c r="AA391" s="43">
        <v>250</v>
      </c>
      <c r="AB391" s="43">
        <v>250</v>
      </c>
      <c r="AC391" s="43">
        <v>2</v>
      </c>
      <c r="AD391" s="43">
        <v>4</v>
      </c>
      <c r="AE391" s="43">
        <v>8</v>
      </c>
      <c r="AF391" s="43">
        <v>8</v>
      </c>
      <c r="AG391" s="43">
        <v>0</v>
      </c>
      <c r="AH391" s="43">
        <v>0</v>
      </c>
      <c r="AI391" s="43">
        <v>0</v>
      </c>
      <c r="AJ391" s="43">
        <v>0</v>
      </c>
    </row>
    <row r="392" spans="1:36">
      <c r="A392" t="s">
        <v>112</v>
      </c>
      <c r="B392" t="s">
        <v>868</v>
      </c>
      <c r="C392" s="3" t="s">
        <v>111</v>
      </c>
      <c r="D392" s="3" t="s">
        <v>867</v>
      </c>
      <c r="E392" s="40">
        <v>90000</v>
      </c>
      <c r="F392" s="40">
        <v>90000</v>
      </c>
      <c r="G392" s="40">
        <v>90000</v>
      </c>
      <c r="H392" s="40">
        <v>90000</v>
      </c>
      <c r="I392" s="46">
        <v>90.22</v>
      </c>
      <c r="J392" s="46">
        <v>90.22</v>
      </c>
      <c r="K392" s="46">
        <v>96.11</v>
      </c>
      <c r="L392" s="46">
        <v>96.11</v>
      </c>
      <c r="M392" s="43">
        <v>250</v>
      </c>
      <c r="N392" s="43">
        <v>250</v>
      </c>
      <c r="O392" s="43">
        <v>250</v>
      </c>
      <c r="P392" s="43">
        <v>250</v>
      </c>
      <c r="Q392" s="43">
        <v>115</v>
      </c>
      <c r="R392" s="43">
        <v>115</v>
      </c>
      <c r="S392" s="43">
        <v>115</v>
      </c>
      <c r="T392" s="43">
        <v>115</v>
      </c>
      <c r="U392" s="43">
        <v>115</v>
      </c>
      <c r="V392" s="43">
        <v>115</v>
      </c>
      <c r="W392" s="43">
        <v>115</v>
      </c>
      <c r="X392" s="43">
        <v>115</v>
      </c>
      <c r="Y392" s="43">
        <v>250</v>
      </c>
      <c r="Z392" s="43">
        <v>250</v>
      </c>
      <c r="AA392" s="43">
        <v>250</v>
      </c>
      <c r="AB392" s="43">
        <v>250</v>
      </c>
      <c r="AC392" s="43">
        <v>2</v>
      </c>
      <c r="AD392" s="43">
        <v>4</v>
      </c>
      <c r="AE392" s="43">
        <v>8</v>
      </c>
      <c r="AF392" s="43">
        <v>8</v>
      </c>
      <c r="AG392" s="43">
        <v>0</v>
      </c>
      <c r="AH392" s="43">
        <v>0</v>
      </c>
      <c r="AI392" s="43">
        <v>0</v>
      </c>
      <c r="AJ392" s="43">
        <v>0</v>
      </c>
    </row>
    <row r="393" spans="1:36">
      <c r="A393" t="s">
        <v>112</v>
      </c>
      <c r="B393" t="s">
        <v>868</v>
      </c>
      <c r="C393" s="3" t="s">
        <v>111</v>
      </c>
      <c r="D393" s="3" t="s">
        <v>867</v>
      </c>
      <c r="E393" s="40">
        <v>91000</v>
      </c>
      <c r="F393" s="40">
        <v>91000</v>
      </c>
      <c r="G393" s="40">
        <v>91000</v>
      </c>
      <c r="H393" s="40">
        <v>91000</v>
      </c>
      <c r="I393" s="46">
        <v>90.22</v>
      </c>
      <c r="J393" s="46">
        <v>90.22</v>
      </c>
      <c r="K393" s="46">
        <v>96.1</v>
      </c>
      <c r="L393" s="46">
        <v>96.1</v>
      </c>
      <c r="M393" s="43">
        <v>250</v>
      </c>
      <c r="N393" s="43">
        <v>250</v>
      </c>
      <c r="O393" s="43">
        <v>250</v>
      </c>
      <c r="P393" s="43">
        <v>250</v>
      </c>
      <c r="Q393" s="43">
        <v>115</v>
      </c>
      <c r="R393" s="43">
        <v>115</v>
      </c>
      <c r="S393" s="43">
        <v>115</v>
      </c>
      <c r="T393" s="43">
        <v>115</v>
      </c>
      <c r="U393" s="43">
        <v>115</v>
      </c>
      <c r="V393" s="43">
        <v>115</v>
      </c>
      <c r="W393" s="43">
        <v>115</v>
      </c>
      <c r="X393" s="43">
        <v>115</v>
      </c>
      <c r="Y393" s="43">
        <v>250</v>
      </c>
      <c r="Z393" s="43">
        <v>250</v>
      </c>
      <c r="AA393" s="43">
        <v>250</v>
      </c>
      <c r="AB393" s="43">
        <v>250</v>
      </c>
      <c r="AC393" s="43">
        <v>2</v>
      </c>
      <c r="AD393" s="43">
        <v>4</v>
      </c>
      <c r="AE393" s="43">
        <v>8</v>
      </c>
      <c r="AF393" s="43">
        <v>8</v>
      </c>
      <c r="AG393" s="43">
        <v>0</v>
      </c>
      <c r="AH393" s="43">
        <v>0</v>
      </c>
      <c r="AI393" s="43">
        <v>0</v>
      </c>
      <c r="AJ393" s="43">
        <v>0</v>
      </c>
    </row>
    <row r="394" spans="1:36">
      <c r="A394" t="s">
        <v>112</v>
      </c>
      <c r="B394" t="s">
        <v>868</v>
      </c>
      <c r="C394" s="3" t="s">
        <v>111</v>
      </c>
      <c r="D394" s="3" t="s">
        <v>867</v>
      </c>
      <c r="E394" s="40">
        <v>92000</v>
      </c>
      <c r="F394" s="40">
        <v>92000</v>
      </c>
      <c r="G394" s="40">
        <v>92000</v>
      </c>
      <c r="H394" s="40">
        <v>92000</v>
      </c>
      <c r="I394" s="46">
        <v>90.22</v>
      </c>
      <c r="J394" s="46">
        <v>90.22</v>
      </c>
      <c r="K394" s="46">
        <v>96.09</v>
      </c>
      <c r="L394" s="46">
        <v>96.09</v>
      </c>
      <c r="M394" s="43">
        <v>250</v>
      </c>
      <c r="N394" s="43">
        <v>250</v>
      </c>
      <c r="O394" s="43">
        <v>250</v>
      </c>
      <c r="P394" s="43">
        <v>250</v>
      </c>
      <c r="Q394" s="43">
        <v>115</v>
      </c>
      <c r="R394" s="43">
        <v>115</v>
      </c>
      <c r="S394" s="43">
        <v>115</v>
      </c>
      <c r="T394" s="43">
        <v>115</v>
      </c>
      <c r="U394" s="43">
        <v>115</v>
      </c>
      <c r="V394" s="43">
        <v>115</v>
      </c>
      <c r="W394" s="43">
        <v>115</v>
      </c>
      <c r="X394" s="43">
        <v>115</v>
      </c>
      <c r="Y394" s="43">
        <v>250</v>
      </c>
      <c r="Z394" s="43">
        <v>250</v>
      </c>
      <c r="AA394" s="43">
        <v>250</v>
      </c>
      <c r="AB394" s="43">
        <v>250</v>
      </c>
      <c r="AC394" s="43">
        <v>2</v>
      </c>
      <c r="AD394" s="43">
        <v>4</v>
      </c>
      <c r="AE394" s="43">
        <v>8</v>
      </c>
      <c r="AF394" s="43">
        <v>8</v>
      </c>
      <c r="AG394" s="43">
        <v>0</v>
      </c>
      <c r="AH394" s="43">
        <v>0</v>
      </c>
      <c r="AI394" s="43">
        <v>0</v>
      </c>
      <c r="AJ394" s="43">
        <v>0</v>
      </c>
    </row>
    <row r="395" spans="1:36">
      <c r="A395" t="s">
        <v>112</v>
      </c>
      <c r="B395" t="s">
        <v>868</v>
      </c>
      <c r="C395" s="3" t="s">
        <v>111</v>
      </c>
      <c r="D395" s="3" t="s">
        <v>867</v>
      </c>
      <c r="E395" s="40">
        <v>93000</v>
      </c>
      <c r="F395" s="40">
        <v>93000</v>
      </c>
      <c r="G395" s="40">
        <v>93000</v>
      </c>
      <c r="H395" s="40">
        <v>93000</v>
      </c>
      <c r="I395" s="46">
        <v>90.22</v>
      </c>
      <c r="J395" s="46">
        <v>90.22</v>
      </c>
      <c r="K395" s="46">
        <v>96.08</v>
      </c>
      <c r="L395" s="46">
        <v>96.08</v>
      </c>
      <c r="M395" s="43">
        <v>250</v>
      </c>
      <c r="N395" s="43">
        <v>250</v>
      </c>
      <c r="O395" s="43">
        <v>250</v>
      </c>
      <c r="P395" s="43">
        <v>250</v>
      </c>
      <c r="Q395" s="43">
        <v>115</v>
      </c>
      <c r="R395" s="43">
        <v>115</v>
      </c>
      <c r="S395" s="43">
        <v>115</v>
      </c>
      <c r="T395" s="43">
        <v>115</v>
      </c>
      <c r="U395" s="43">
        <v>115</v>
      </c>
      <c r="V395" s="43">
        <v>115</v>
      </c>
      <c r="W395" s="43">
        <v>115</v>
      </c>
      <c r="X395" s="43">
        <v>115</v>
      </c>
      <c r="Y395" s="43">
        <v>250</v>
      </c>
      <c r="Z395" s="43">
        <v>250</v>
      </c>
      <c r="AA395" s="43">
        <v>250</v>
      </c>
      <c r="AB395" s="43">
        <v>250</v>
      </c>
      <c r="AC395" s="43">
        <v>2</v>
      </c>
      <c r="AD395" s="43">
        <v>4</v>
      </c>
      <c r="AE395" s="43">
        <v>8</v>
      </c>
      <c r="AF395" s="43">
        <v>8</v>
      </c>
      <c r="AG395" s="43">
        <v>0</v>
      </c>
      <c r="AH395" s="43">
        <v>0</v>
      </c>
      <c r="AI395" s="43">
        <v>0</v>
      </c>
      <c r="AJ395" s="43">
        <v>0</v>
      </c>
    </row>
    <row r="396" spans="1:36">
      <c r="A396" t="s">
        <v>112</v>
      </c>
      <c r="B396" t="s">
        <v>868</v>
      </c>
      <c r="C396" s="3" t="s">
        <v>111</v>
      </c>
      <c r="D396" s="3" t="s">
        <v>867</v>
      </c>
      <c r="E396" s="40">
        <v>94000</v>
      </c>
      <c r="F396" s="40">
        <v>94000</v>
      </c>
      <c r="G396" s="40">
        <v>94000</v>
      </c>
      <c r="H396" s="40">
        <v>94000</v>
      </c>
      <c r="I396" s="46">
        <v>90.21</v>
      </c>
      <c r="J396" s="46">
        <v>90.21</v>
      </c>
      <c r="K396" s="46">
        <v>96.06</v>
      </c>
      <c r="L396" s="46">
        <v>96.06</v>
      </c>
      <c r="M396" s="43">
        <v>250</v>
      </c>
      <c r="N396" s="43">
        <v>250</v>
      </c>
      <c r="O396" s="43">
        <v>250</v>
      </c>
      <c r="P396" s="43">
        <v>250</v>
      </c>
      <c r="Q396" s="43">
        <v>115</v>
      </c>
      <c r="R396" s="43">
        <v>115</v>
      </c>
      <c r="S396" s="43">
        <v>115</v>
      </c>
      <c r="T396" s="43">
        <v>115</v>
      </c>
      <c r="U396" s="43">
        <v>115</v>
      </c>
      <c r="V396" s="43">
        <v>115</v>
      </c>
      <c r="W396" s="43">
        <v>115</v>
      </c>
      <c r="X396" s="43">
        <v>115</v>
      </c>
      <c r="Y396" s="43">
        <v>250</v>
      </c>
      <c r="Z396" s="43">
        <v>250</v>
      </c>
      <c r="AA396" s="43">
        <v>250</v>
      </c>
      <c r="AB396" s="43">
        <v>250</v>
      </c>
      <c r="AC396" s="43">
        <v>2</v>
      </c>
      <c r="AD396" s="43">
        <v>4</v>
      </c>
      <c r="AE396" s="43">
        <v>8</v>
      </c>
      <c r="AF396" s="43">
        <v>8</v>
      </c>
      <c r="AG396" s="43">
        <v>0</v>
      </c>
      <c r="AH396" s="43">
        <v>0</v>
      </c>
      <c r="AI396" s="43">
        <v>0</v>
      </c>
      <c r="AJ396" s="43">
        <v>0</v>
      </c>
    </row>
    <row r="397" spans="1:36">
      <c r="A397" t="s">
        <v>112</v>
      </c>
      <c r="B397" t="s">
        <v>868</v>
      </c>
      <c r="C397" s="3" t="s">
        <v>111</v>
      </c>
      <c r="D397" s="3" t="s">
        <v>867</v>
      </c>
      <c r="E397" s="40">
        <v>95000</v>
      </c>
      <c r="F397" s="40">
        <v>95000</v>
      </c>
      <c r="G397" s="40">
        <v>95000</v>
      </c>
      <c r="H397" s="40">
        <v>95000</v>
      </c>
      <c r="I397" s="46">
        <v>90.21</v>
      </c>
      <c r="J397" s="46">
        <v>90.21</v>
      </c>
      <c r="K397" s="46">
        <v>96.05</v>
      </c>
      <c r="L397" s="46">
        <v>96.05</v>
      </c>
      <c r="M397" s="43">
        <v>250</v>
      </c>
      <c r="N397" s="43">
        <v>250</v>
      </c>
      <c r="O397" s="43">
        <v>250</v>
      </c>
      <c r="P397" s="43">
        <v>250</v>
      </c>
      <c r="Q397" s="43">
        <v>115</v>
      </c>
      <c r="R397" s="43">
        <v>115</v>
      </c>
      <c r="S397" s="43">
        <v>115</v>
      </c>
      <c r="T397" s="43">
        <v>115</v>
      </c>
      <c r="U397" s="43">
        <v>115</v>
      </c>
      <c r="V397" s="43">
        <v>115</v>
      </c>
      <c r="W397" s="43">
        <v>115</v>
      </c>
      <c r="X397" s="43">
        <v>115</v>
      </c>
      <c r="Y397" s="43">
        <v>250</v>
      </c>
      <c r="Z397" s="43">
        <v>250</v>
      </c>
      <c r="AA397" s="43">
        <v>250</v>
      </c>
      <c r="AB397" s="43">
        <v>250</v>
      </c>
      <c r="AC397" s="43">
        <v>2</v>
      </c>
      <c r="AD397" s="43">
        <v>4</v>
      </c>
      <c r="AE397" s="43">
        <v>8</v>
      </c>
      <c r="AF397" s="43">
        <v>8</v>
      </c>
      <c r="AG397" s="43">
        <v>0</v>
      </c>
      <c r="AH397" s="43">
        <v>0</v>
      </c>
      <c r="AI397" s="43">
        <v>0</v>
      </c>
      <c r="AJ397" s="43">
        <v>0</v>
      </c>
    </row>
    <row r="398" spans="1:36">
      <c r="A398" t="s">
        <v>112</v>
      </c>
      <c r="B398" t="s">
        <v>868</v>
      </c>
      <c r="C398" s="3" t="s">
        <v>111</v>
      </c>
      <c r="D398" s="3" t="s">
        <v>867</v>
      </c>
      <c r="E398" s="40">
        <v>96000</v>
      </c>
      <c r="F398" s="40">
        <v>96000</v>
      </c>
      <c r="G398" s="40">
        <v>96000</v>
      </c>
      <c r="H398" s="40">
        <v>96000</v>
      </c>
      <c r="I398" s="46">
        <v>90.21</v>
      </c>
      <c r="J398" s="46">
        <v>90.21</v>
      </c>
      <c r="K398" s="46">
        <v>96.04</v>
      </c>
      <c r="L398" s="46">
        <v>96.04</v>
      </c>
      <c r="M398" s="43">
        <v>250</v>
      </c>
      <c r="N398" s="43">
        <v>250</v>
      </c>
      <c r="O398" s="43">
        <v>250</v>
      </c>
      <c r="P398" s="43">
        <v>250</v>
      </c>
      <c r="Q398" s="43">
        <v>115</v>
      </c>
      <c r="R398" s="43">
        <v>115</v>
      </c>
      <c r="S398" s="43">
        <v>115</v>
      </c>
      <c r="T398" s="43">
        <v>115</v>
      </c>
      <c r="U398" s="43">
        <v>115</v>
      </c>
      <c r="V398" s="43">
        <v>115</v>
      </c>
      <c r="W398" s="43">
        <v>115</v>
      </c>
      <c r="X398" s="43">
        <v>115</v>
      </c>
      <c r="Y398" s="43">
        <v>250</v>
      </c>
      <c r="Z398" s="43">
        <v>250</v>
      </c>
      <c r="AA398" s="43">
        <v>250</v>
      </c>
      <c r="AB398" s="43">
        <v>250</v>
      </c>
      <c r="AC398" s="43">
        <v>2</v>
      </c>
      <c r="AD398" s="43">
        <v>4</v>
      </c>
      <c r="AE398" s="43">
        <v>8</v>
      </c>
      <c r="AF398" s="43">
        <v>8</v>
      </c>
      <c r="AG398" s="43">
        <v>0</v>
      </c>
      <c r="AH398" s="43">
        <v>0</v>
      </c>
      <c r="AI398" s="43">
        <v>0</v>
      </c>
      <c r="AJ398" s="43">
        <v>0</v>
      </c>
    </row>
    <row r="399" spans="1:36">
      <c r="A399" t="s">
        <v>112</v>
      </c>
      <c r="B399" t="s">
        <v>868</v>
      </c>
      <c r="C399" s="3" t="s">
        <v>111</v>
      </c>
      <c r="D399" s="3" t="s">
        <v>867</v>
      </c>
      <c r="E399" s="40">
        <v>97000</v>
      </c>
      <c r="F399" s="40">
        <v>97000</v>
      </c>
      <c r="G399" s="40">
        <v>97000</v>
      </c>
      <c r="H399" s="40">
        <v>97000</v>
      </c>
      <c r="I399" s="46">
        <v>90.21</v>
      </c>
      <c r="J399" s="46">
        <v>90.21</v>
      </c>
      <c r="K399" s="46">
        <v>96.03</v>
      </c>
      <c r="L399" s="46">
        <v>96.03</v>
      </c>
      <c r="M399" s="43">
        <v>250</v>
      </c>
      <c r="N399" s="43">
        <v>250</v>
      </c>
      <c r="O399" s="43">
        <v>250</v>
      </c>
      <c r="P399" s="43">
        <v>250</v>
      </c>
      <c r="Q399" s="43">
        <v>115</v>
      </c>
      <c r="R399" s="43">
        <v>115</v>
      </c>
      <c r="S399" s="43">
        <v>115</v>
      </c>
      <c r="T399" s="43">
        <v>115</v>
      </c>
      <c r="U399" s="43">
        <v>115</v>
      </c>
      <c r="V399" s="43">
        <v>115</v>
      </c>
      <c r="W399" s="43">
        <v>115</v>
      </c>
      <c r="X399" s="43">
        <v>115</v>
      </c>
      <c r="Y399" s="43">
        <v>250</v>
      </c>
      <c r="Z399" s="43">
        <v>250</v>
      </c>
      <c r="AA399" s="43">
        <v>250</v>
      </c>
      <c r="AB399" s="43">
        <v>250</v>
      </c>
      <c r="AC399" s="43">
        <v>2</v>
      </c>
      <c r="AD399" s="43">
        <v>4</v>
      </c>
      <c r="AE399" s="43">
        <v>8</v>
      </c>
      <c r="AF399" s="43">
        <v>8</v>
      </c>
      <c r="AG399" s="43">
        <v>0</v>
      </c>
      <c r="AH399" s="43">
        <v>0</v>
      </c>
      <c r="AI399" s="43">
        <v>0</v>
      </c>
      <c r="AJ399" s="43">
        <v>0</v>
      </c>
    </row>
    <row r="400" spans="1:36">
      <c r="A400" t="s">
        <v>112</v>
      </c>
      <c r="B400" t="s">
        <v>868</v>
      </c>
      <c r="C400" s="3" t="s">
        <v>111</v>
      </c>
      <c r="D400" s="3" t="s">
        <v>867</v>
      </c>
      <c r="E400" s="40">
        <v>98000</v>
      </c>
      <c r="F400" s="40">
        <v>98000</v>
      </c>
      <c r="G400" s="40">
        <v>98000</v>
      </c>
      <c r="H400" s="40">
        <v>98000</v>
      </c>
      <c r="I400" s="46">
        <v>90.2</v>
      </c>
      <c r="J400" s="46">
        <v>90.2</v>
      </c>
      <c r="K400" s="46">
        <v>96.02</v>
      </c>
      <c r="L400" s="46">
        <v>96.02</v>
      </c>
      <c r="M400" s="43">
        <v>250</v>
      </c>
      <c r="N400" s="43">
        <v>250</v>
      </c>
      <c r="O400" s="43">
        <v>250</v>
      </c>
      <c r="P400" s="43">
        <v>250</v>
      </c>
      <c r="Q400" s="43">
        <v>115</v>
      </c>
      <c r="R400" s="43">
        <v>115</v>
      </c>
      <c r="S400" s="43">
        <v>115</v>
      </c>
      <c r="T400" s="43">
        <v>115</v>
      </c>
      <c r="U400" s="43">
        <v>115</v>
      </c>
      <c r="V400" s="43">
        <v>115</v>
      </c>
      <c r="W400" s="43">
        <v>115</v>
      </c>
      <c r="X400" s="43">
        <v>115</v>
      </c>
      <c r="Y400" s="43">
        <v>250</v>
      </c>
      <c r="Z400" s="43">
        <v>250</v>
      </c>
      <c r="AA400" s="43">
        <v>250</v>
      </c>
      <c r="AB400" s="43">
        <v>250</v>
      </c>
      <c r="AC400" s="43">
        <v>2</v>
      </c>
      <c r="AD400" s="43">
        <v>4</v>
      </c>
      <c r="AE400" s="43">
        <v>8</v>
      </c>
      <c r="AF400" s="43">
        <v>8</v>
      </c>
      <c r="AG400" s="43">
        <v>0</v>
      </c>
      <c r="AH400" s="43">
        <v>0</v>
      </c>
      <c r="AI400" s="43">
        <v>0</v>
      </c>
      <c r="AJ400" s="43">
        <v>0</v>
      </c>
    </row>
    <row r="401" spans="1:36">
      <c r="A401" t="s">
        <v>112</v>
      </c>
      <c r="B401" t="s">
        <v>868</v>
      </c>
      <c r="C401" s="3" t="s">
        <v>111</v>
      </c>
      <c r="D401" s="3" t="s">
        <v>867</v>
      </c>
      <c r="E401" s="40">
        <v>99000</v>
      </c>
      <c r="F401" s="40">
        <v>99000</v>
      </c>
      <c r="G401" s="40">
        <v>99000</v>
      </c>
      <c r="H401" s="40">
        <v>99000</v>
      </c>
      <c r="I401" s="46">
        <v>90.2</v>
      </c>
      <c r="J401" s="46">
        <v>90.2</v>
      </c>
      <c r="K401" s="46">
        <v>96.01</v>
      </c>
      <c r="L401" s="46">
        <v>96.01</v>
      </c>
      <c r="M401" s="43">
        <v>250</v>
      </c>
      <c r="N401" s="43">
        <v>250</v>
      </c>
      <c r="O401" s="43">
        <v>250</v>
      </c>
      <c r="P401" s="43">
        <v>250</v>
      </c>
      <c r="Q401" s="43">
        <v>115</v>
      </c>
      <c r="R401" s="43">
        <v>115</v>
      </c>
      <c r="S401" s="43">
        <v>115</v>
      </c>
      <c r="T401" s="43">
        <v>115</v>
      </c>
      <c r="U401" s="43">
        <v>115</v>
      </c>
      <c r="V401" s="43">
        <v>115</v>
      </c>
      <c r="W401" s="43">
        <v>115</v>
      </c>
      <c r="X401" s="43">
        <v>115</v>
      </c>
      <c r="Y401" s="43">
        <v>250</v>
      </c>
      <c r="Z401" s="43">
        <v>250</v>
      </c>
      <c r="AA401" s="43">
        <v>250</v>
      </c>
      <c r="AB401" s="43">
        <v>250</v>
      </c>
      <c r="AC401" s="43">
        <v>2</v>
      </c>
      <c r="AD401" s="43">
        <v>4</v>
      </c>
      <c r="AE401" s="43">
        <v>8</v>
      </c>
      <c r="AF401" s="43">
        <v>8</v>
      </c>
      <c r="AG401" s="43">
        <v>0</v>
      </c>
      <c r="AH401" s="43">
        <v>0</v>
      </c>
      <c r="AI401" s="43">
        <v>0</v>
      </c>
      <c r="AJ401" s="43">
        <v>0</v>
      </c>
    </row>
    <row r="402" spans="1:36">
      <c r="A402" t="s">
        <v>112</v>
      </c>
      <c r="B402" t="s">
        <v>868</v>
      </c>
      <c r="C402" s="3" t="s">
        <v>111</v>
      </c>
      <c r="D402" s="3" t="s">
        <v>867</v>
      </c>
      <c r="E402" s="40">
        <v>100000</v>
      </c>
      <c r="F402" s="40">
        <v>100000</v>
      </c>
      <c r="G402" s="40">
        <v>100000</v>
      </c>
      <c r="H402" s="40">
        <v>100000</v>
      </c>
      <c r="I402" s="46">
        <v>90.2</v>
      </c>
      <c r="J402" s="46">
        <v>90.2</v>
      </c>
      <c r="K402" s="46">
        <v>96</v>
      </c>
      <c r="L402" s="46">
        <v>96</v>
      </c>
      <c r="M402" s="43">
        <v>250</v>
      </c>
      <c r="N402" s="43">
        <v>250</v>
      </c>
      <c r="O402" s="43">
        <v>250</v>
      </c>
      <c r="P402" s="43">
        <v>250</v>
      </c>
      <c r="Q402" s="43">
        <v>115</v>
      </c>
      <c r="R402" s="43">
        <v>115</v>
      </c>
      <c r="S402" s="43">
        <v>115</v>
      </c>
      <c r="T402" s="43">
        <v>115</v>
      </c>
      <c r="U402" s="43">
        <v>115</v>
      </c>
      <c r="V402" s="43">
        <v>115</v>
      </c>
      <c r="W402" s="43">
        <v>115</v>
      </c>
      <c r="X402" s="43">
        <v>115</v>
      </c>
      <c r="Y402" s="43">
        <v>250</v>
      </c>
      <c r="Z402" s="43">
        <v>250</v>
      </c>
      <c r="AA402" s="43">
        <v>250</v>
      </c>
      <c r="AB402" s="43">
        <v>250</v>
      </c>
      <c r="AC402" s="43">
        <v>2</v>
      </c>
      <c r="AD402" s="43">
        <v>4</v>
      </c>
      <c r="AE402" s="43">
        <v>8</v>
      </c>
      <c r="AF402" s="43">
        <v>8</v>
      </c>
      <c r="AG402" s="43">
        <v>0</v>
      </c>
      <c r="AH402" s="43">
        <v>0</v>
      </c>
      <c r="AI402" s="43">
        <v>0</v>
      </c>
      <c r="AJ402" s="43">
        <v>0</v>
      </c>
    </row>
    <row r="403" spans="1:36">
      <c r="A403" t="s">
        <v>112</v>
      </c>
      <c r="B403" t="s">
        <v>309</v>
      </c>
      <c r="C403" s="2" t="s">
        <v>111</v>
      </c>
      <c r="D403" s="5" t="s">
        <v>39</v>
      </c>
      <c r="E403" s="38">
        <v>1000</v>
      </c>
      <c r="F403" s="38">
        <v>1000</v>
      </c>
      <c r="G403" s="38">
        <v>1000</v>
      </c>
      <c r="H403" s="38">
        <v>1000</v>
      </c>
      <c r="I403" s="39">
        <v>150</v>
      </c>
      <c r="J403" s="39">
        <v>150</v>
      </c>
      <c r="K403" s="39">
        <v>200</v>
      </c>
      <c r="L403" s="39">
        <v>200</v>
      </c>
      <c r="M403" s="38">
        <v>400</v>
      </c>
      <c r="N403" s="38">
        <v>400</v>
      </c>
      <c r="O403" s="38">
        <v>400</v>
      </c>
      <c r="P403" s="38">
        <v>400</v>
      </c>
      <c r="Q403" s="38">
        <v>120</v>
      </c>
      <c r="R403" s="38">
        <v>120</v>
      </c>
      <c r="S403" s="38">
        <v>120</v>
      </c>
      <c r="T403" s="38">
        <v>120</v>
      </c>
      <c r="U403" s="38">
        <v>120</v>
      </c>
      <c r="V403" s="38">
        <v>120</v>
      </c>
      <c r="W403" s="38">
        <v>120</v>
      </c>
      <c r="X403" s="38">
        <v>120</v>
      </c>
      <c r="Y403" s="38">
        <v>500</v>
      </c>
      <c r="Z403" s="38">
        <v>500</v>
      </c>
      <c r="AA403" s="38">
        <v>500</v>
      </c>
      <c r="AB403" s="38">
        <v>500</v>
      </c>
      <c r="AC403" s="38">
        <v>2</v>
      </c>
      <c r="AD403" s="38">
        <v>4</v>
      </c>
      <c r="AE403" s="38">
        <v>8</v>
      </c>
      <c r="AF403" s="38">
        <v>8</v>
      </c>
      <c r="AG403" s="38">
        <v>0</v>
      </c>
      <c r="AH403" s="38">
        <v>0</v>
      </c>
      <c r="AI403" s="38">
        <v>0</v>
      </c>
      <c r="AJ403" s="38">
        <v>0</v>
      </c>
    </row>
    <row r="404" spans="1:36">
      <c r="A404" t="s">
        <v>112</v>
      </c>
      <c r="B404" t="s">
        <v>309</v>
      </c>
      <c r="C404" s="2" t="s">
        <v>111</v>
      </c>
      <c r="D404" s="5" t="s">
        <v>39</v>
      </c>
      <c r="E404" s="38">
        <v>2000</v>
      </c>
      <c r="F404" s="38">
        <v>2000</v>
      </c>
      <c r="G404" s="38">
        <v>2000</v>
      </c>
      <c r="H404" s="38">
        <v>2000</v>
      </c>
      <c r="I404" s="39">
        <v>125</v>
      </c>
      <c r="J404" s="39">
        <v>125</v>
      </c>
      <c r="K404" s="39">
        <v>162.5</v>
      </c>
      <c r="L404" s="39">
        <v>162.5</v>
      </c>
      <c r="M404" s="38">
        <v>400</v>
      </c>
      <c r="N404" s="38">
        <v>400</v>
      </c>
      <c r="O404" s="38">
        <v>400</v>
      </c>
      <c r="P404" s="38">
        <v>400</v>
      </c>
      <c r="Q404" s="38">
        <v>120</v>
      </c>
      <c r="R404" s="38">
        <v>120</v>
      </c>
      <c r="S404" s="38">
        <v>120</v>
      </c>
      <c r="T404" s="38">
        <v>120</v>
      </c>
      <c r="U404" s="38">
        <v>120</v>
      </c>
      <c r="V404" s="38">
        <v>120</v>
      </c>
      <c r="W404" s="38">
        <v>120</v>
      </c>
      <c r="X404" s="38">
        <v>120</v>
      </c>
      <c r="Y404" s="38">
        <v>500</v>
      </c>
      <c r="Z404" s="38">
        <v>500</v>
      </c>
      <c r="AA404" s="38">
        <v>500</v>
      </c>
      <c r="AB404" s="38">
        <v>500</v>
      </c>
      <c r="AC404" s="38">
        <v>2</v>
      </c>
      <c r="AD404" s="38">
        <v>4</v>
      </c>
      <c r="AE404" s="38">
        <v>8</v>
      </c>
      <c r="AF404" s="38">
        <v>8</v>
      </c>
      <c r="AG404" s="38">
        <v>0</v>
      </c>
      <c r="AH404" s="38">
        <v>0</v>
      </c>
      <c r="AI404" s="38">
        <v>0</v>
      </c>
      <c r="AJ404" s="38">
        <v>0</v>
      </c>
    </row>
    <row r="405" spans="1:36">
      <c r="A405" t="s">
        <v>112</v>
      </c>
      <c r="B405" t="s">
        <v>309</v>
      </c>
      <c r="C405" s="2" t="s">
        <v>111</v>
      </c>
      <c r="D405" s="5" t="s">
        <v>39</v>
      </c>
      <c r="E405" s="38">
        <v>3000</v>
      </c>
      <c r="F405" s="38">
        <v>3000</v>
      </c>
      <c r="G405" s="38">
        <v>3000</v>
      </c>
      <c r="H405" s="38">
        <v>3000</v>
      </c>
      <c r="I405" s="39">
        <v>116.67</v>
      </c>
      <c r="J405" s="39">
        <v>116.67</v>
      </c>
      <c r="K405" s="39">
        <v>150</v>
      </c>
      <c r="L405" s="39">
        <v>150</v>
      </c>
      <c r="M405" s="38">
        <v>400</v>
      </c>
      <c r="N405" s="38">
        <v>400</v>
      </c>
      <c r="O405" s="38">
        <v>400</v>
      </c>
      <c r="P405" s="38">
        <v>400</v>
      </c>
      <c r="Q405" s="38">
        <v>120</v>
      </c>
      <c r="R405" s="38">
        <v>120</v>
      </c>
      <c r="S405" s="38">
        <v>120</v>
      </c>
      <c r="T405" s="38">
        <v>120</v>
      </c>
      <c r="U405" s="38">
        <v>120</v>
      </c>
      <c r="V405" s="38">
        <v>120</v>
      </c>
      <c r="W405" s="38">
        <v>120</v>
      </c>
      <c r="X405" s="38">
        <v>120</v>
      </c>
      <c r="Y405" s="38">
        <v>500</v>
      </c>
      <c r="Z405" s="38">
        <v>500</v>
      </c>
      <c r="AA405" s="38">
        <v>500</v>
      </c>
      <c r="AB405" s="38">
        <v>500</v>
      </c>
      <c r="AC405" s="38">
        <v>2</v>
      </c>
      <c r="AD405" s="38">
        <v>4</v>
      </c>
      <c r="AE405" s="38">
        <v>8</v>
      </c>
      <c r="AF405" s="38">
        <v>8</v>
      </c>
      <c r="AG405" s="38">
        <v>0</v>
      </c>
      <c r="AH405" s="38">
        <v>0</v>
      </c>
      <c r="AI405" s="38">
        <v>0</v>
      </c>
      <c r="AJ405" s="38">
        <v>0</v>
      </c>
    </row>
    <row r="406" spans="1:36">
      <c r="A406" t="s">
        <v>112</v>
      </c>
      <c r="B406" t="s">
        <v>309</v>
      </c>
      <c r="C406" s="2" t="s">
        <v>111</v>
      </c>
      <c r="D406" s="5" t="s">
        <v>39</v>
      </c>
      <c r="E406" s="38">
        <v>4000</v>
      </c>
      <c r="F406" s="38">
        <v>4000</v>
      </c>
      <c r="G406" s="38">
        <v>4000</v>
      </c>
      <c r="H406" s="38">
        <v>4000</v>
      </c>
      <c r="I406" s="39">
        <v>112.5</v>
      </c>
      <c r="J406" s="39">
        <v>112.5</v>
      </c>
      <c r="K406" s="39">
        <v>143.75</v>
      </c>
      <c r="L406" s="39">
        <v>143.75</v>
      </c>
      <c r="M406" s="38">
        <v>400</v>
      </c>
      <c r="N406" s="38">
        <v>400</v>
      </c>
      <c r="O406" s="38">
        <v>400</v>
      </c>
      <c r="P406" s="38">
        <v>400</v>
      </c>
      <c r="Q406" s="38">
        <v>120</v>
      </c>
      <c r="R406" s="38">
        <v>120</v>
      </c>
      <c r="S406" s="38">
        <v>120</v>
      </c>
      <c r="T406" s="38">
        <v>120</v>
      </c>
      <c r="U406" s="38">
        <v>120</v>
      </c>
      <c r="V406" s="38">
        <v>120</v>
      </c>
      <c r="W406" s="38">
        <v>120</v>
      </c>
      <c r="X406" s="38">
        <v>120</v>
      </c>
      <c r="Y406" s="38">
        <v>500</v>
      </c>
      <c r="Z406" s="38">
        <v>500</v>
      </c>
      <c r="AA406" s="38">
        <v>500</v>
      </c>
      <c r="AB406" s="38">
        <v>500</v>
      </c>
      <c r="AC406" s="38">
        <v>2</v>
      </c>
      <c r="AD406" s="38">
        <v>4</v>
      </c>
      <c r="AE406" s="38">
        <v>8</v>
      </c>
      <c r="AF406" s="38">
        <v>8</v>
      </c>
      <c r="AG406" s="38">
        <v>0</v>
      </c>
      <c r="AH406" s="38">
        <v>0</v>
      </c>
      <c r="AI406" s="38">
        <v>0</v>
      </c>
      <c r="AJ406" s="38">
        <v>0</v>
      </c>
    </row>
    <row r="407" spans="1:36">
      <c r="A407" t="s">
        <v>112</v>
      </c>
      <c r="B407" t="s">
        <v>309</v>
      </c>
      <c r="C407" s="2" t="s">
        <v>111</v>
      </c>
      <c r="D407" s="5" t="s">
        <v>39</v>
      </c>
      <c r="E407" s="38">
        <v>5000</v>
      </c>
      <c r="F407" s="38">
        <v>5000</v>
      </c>
      <c r="G407" s="38">
        <v>5000</v>
      </c>
      <c r="H407" s="38">
        <v>5000</v>
      </c>
      <c r="I407" s="39">
        <v>110</v>
      </c>
      <c r="J407" s="39">
        <v>110</v>
      </c>
      <c r="K407" s="39">
        <v>140</v>
      </c>
      <c r="L407" s="39">
        <v>140</v>
      </c>
      <c r="M407" s="38">
        <v>400</v>
      </c>
      <c r="N407" s="38">
        <v>400</v>
      </c>
      <c r="O407" s="38">
        <v>400</v>
      </c>
      <c r="P407" s="38">
        <v>400</v>
      </c>
      <c r="Q407" s="38">
        <v>120</v>
      </c>
      <c r="R407" s="38">
        <v>120</v>
      </c>
      <c r="S407" s="38">
        <v>120</v>
      </c>
      <c r="T407" s="38">
        <v>120</v>
      </c>
      <c r="U407" s="38">
        <v>120</v>
      </c>
      <c r="V407" s="38">
        <v>120</v>
      </c>
      <c r="W407" s="38">
        <v>120</v>
      </c>
      <c r="X407" s="38">
        <v>120</v>
      </c>
      <c r="Y407" s="38">
        <v>500</v>
      </c>
      <c r="Z407" s="38">
        <v>500</v>
      </c>
      <c r="AA407" s="38">
        <v>500</v>
      </c>
      <c r="AB407" s="38">
        <v>500</v>
      </c>
      <c r="AC407" s="38">
        <v>2</v>
      </c>
      <c r="AD407" s="38">
        <v>4</v>
      </c>
      <c r="AE407" s="38">
        <v>8</v>
      </c>
      <c r="AF407" s="38">
        <v>8</v>
      </c>
      <c r="AG407" s="38">
        <v>0</v>
      </c>
      <c r="AH407" s="38">
        <v>0</v>
      </c>
      <c r="AI407" s="38">
        <v>0</v>
      </c>
      <c r="AJ407" s="38">
        <v>0</v>
      </c>
    </row>
    <row r="408" spans="1:36">
      <c r="A408" t="s">
        <v>112</v>
      </c>
      <c r="B408" t="s">
        <v>309</v>
      </c>
      <c r="C408" s="2" t="s">
        <v>111</v>
      </c>
      <c r="D408" s="5" t="s">
        <v>39</v>
      </c>
      <c r="E408" s="38">
        <v>6000</v>
      </c>
      <c r="F408" s="38">
        <v>6000</v>
      </c>
      <c r="G408" s="38">
        <v>6000</v>
      </c>
      <c r="H408" s="38">
        <v>6000</v>
      </c>
      <c r="I408" s="39">
        <v>108.33</v>
      </c>
      <c r="J408" s="39">
        <v>108.33</v>
      </c>
      <c r="K408" s="39">
        <v>137.5</v>
      </c>
      <c r="L408" s="39">
        <v>137.5</v>
      </c>
      <c r="M408" s="38">
        <v>400</v>
      </c>
      <c r="N408" s="38">
        <v>400</v>
      </c>
      <c r="O408" s="38">
        <v>400</v>
      </c>
      <c r="P408" s="38">
        <v>400</v>
      </c>
      <c r="Q408" s="38">
        <v>120</v>
      </c>
      <c r="R408" s="38">
        <v>120</v>
      </c>
      <c r="S408" s="38">
        <v>120</v>
      </c>
      <c r="T408" s="38">
        <v>120</v>
      </c>
      <c r="U408" s="38">
        <v>120</v>
      </c>
      <c r="V408" s="38">
        <v>120</v>
      </c>
      <c r="W408" s="38">
        <v>120</v>
      </c>
      <c r="X408" s="38">
        <v>120</v>
      </c>
      <c r="Y408" s="38">
        <v>500</v>
      </c>
      <c r="Z408" s="38">
        <v>500</v>
      </c>
      <c r="AA408" s="38">
        <v>500</v>
      </c>
      <c r="AB408" s="38">
        <v>500</v>
      </c>
      <c r="AC408" s="38">
        <v>2</v>
      </c>
      <c r="AD408" s="38">
        <v>4</v>
      </c>
      <c r="AE408" s="38">
        <v>8</v>
      </c>
      <c r="AF408" s="38">
        <v>8</v>
      </c>
      <c r="AG408" s="38">
        <v>0</v>
      </c>
      <c r="AH408" s="38">
        <v>0</v>
      </c>
      <c r="AI408" s="38">
        <v>0</v>
      </c>
      <c r="AJ408" s="38">
        <v>0</v>
      </c>
    </row>
    <row r="409" spans="1:36">
      <c r="A409" t="s">
        <v>112</v>
      </c>
      <c r="B409" t="s">
        <v>309</v>
      </c>
      <c r="C409" s="2" t="s">
        <v>111</v>
      </c>
      <c r="D409" s="5" t="s">
        <v>39</v>
      </c>
      <c r="E409" s="38">
        <v>7000</v>
      </c>
      <c r="F409" s="38">
        <v>7000</v>
      </c>
      <c r="G409" s="38">
        <v>7000</v>
      </c>
      <c r="H409" s="38">
        <v>7000</v>
      </c>
      <c r="I409" s="39">
        <v>107.14</v>
      </c>
      <c r="J409" s="39">
        <v>107.14</v>
      </c>
      <c r="K409" s="39">
        <v>135.71</v>
      </c>
      <c r="L409" s="39">
        <v>135.71</v>
      </c>
      <c r="M409" s="38">
        <v>400</v>
      </c>
      <c r="N409" s="38">
        <v>400</v>
      </c>
      <c r="O409" s="38">
        <v>400</v>
      </c>
      <c r="P409" s="38">
        <v>400</v>
      </c>
      <c r="Q409" s="38">
        <v>120</v>
      </c>
      <c r="R409" s="38">
        <v>120</v>
      </c>
      <c r="S409" s="38">
        <v>120</v>
      </c>
      <c r="T409" s="38">
        <v>120</v>
      </c>
      <c r="U409" s="38">
        <v>120</v>
      </c>
      <c r="V409" s="38">
        <v>120</v>
      </c>
      <c r="W409" s="38">
        <v>120</v>
      </c>
      <c r="X409" s="38">
        <v>120</v>
      </c>
      <c r="Y409" s="38">
        <v>500</v>
      </c>
      <c r="Z409" s="38">
        <v>500</v>
      </c>
      <c r="AA409" s="38">
        <v>500</v>
      </c>
      <c r="AB409" s="38">
        <v>500</v>
      </c>
      <c r="AC409" s="38">
        <v>2</v>
      </c>
      <c r="AD409" s="38">
        <v>4</v>
      </c>
      <c r="AE409" s="38">
        <v>8</v>
      </c>
      <c r="AF409" s="38">
        <v>8</v>
      </c>
      <c r="AG409" s="38">
        <v>0</v>
      </c>
      <c r="AH409" s="38">
        <v>0</v>
      </c>
      <c r="AI409" s="38">
        <v>0</v>
      </c>
      <c r="AJ409" s="38">
        <v>0</v>
      </c>
    </row>
    <row r="410" spans="1:36">
      <c r="A410" t="s">
        <v>112</v>
      </c>
      <c r="B410" t="s">
        <v>309</v>
      </c>
      <c r="C410" s="2" t="s">
        <v>111</v>
      </c>
      <c r="D410" s="5" t="s">
        <v>39</v>
      </c>
      <c r="E410" s="38">
        <v>8000</v>
      </c>
      <c r="F410" s="38">
        <v>8000</v>
      </c>
      <c r="G410" s="38">
        <v>8000</v>
      </c>
      <c r="H410" s="38">
        <v>8000</v>
      </c>
      <c r="I410" s="39">
        <v>106.25</v>
      </c>
      <c r="J410" s="39">
        <v>106.25</v>
      </c>
      <c r="K410" s="39">
        <v>134.38</v>
      </c>
      <c r="L410" s="39">
        <v>134.38</v>
      </c>
      <c r="M410" s="38">
        <v>400</v>
      </c>
      <c r="N410" s="38">
        <v>400</v>
      </c>
      <c r="O410" s="38">
        <v>400</v>
      </c>
      <c r="P410" s="38">
        <v>400</v>
      </c>
      <c r="Q410" s="38">
        <v>120</v>
      </c>
      <c r="R410" s="38">
        <v>120</v>
      </c>
      <c r="S410" s="38">
        <v>120</v>
      </c>
      <c r="T410" s="38">
        <v>120</v>
      </c>
      <c r="U410" s="38">
        <v>120</v>
      </c>
      <c r="V410" s="38">
        <v>120</v>
      </c>
      <c r="W410" s="38">
        <v>120</v>
      </c>
      <c r="X410" s="38">
        <v>120</v>
      </c>
      <c r="Y410" s="38">
        <v>500</v>
      </c>
      <c r="Z410" s="38">
        <v>500</v>
      </c>
      <c r="AA410" s="38">
        <v>500</v>
      </c>
      <c r="AB410" s="38">
        <v>500</v>
      </c>
      <c r="AC410" s="38">
        <v>2</v>
      </c>
      <c r="AD410" s="38">
        <v>4</v>
      </c>
      <c r="AE410" s="38">
        <v>8</v>
      </c>
      <c r="AF410" s="38">
        <v>8</v>
      </c>
      <c r="AG410" s="38">
        <v>0</v>
      </c>
      <c r="AH410" s="38">
        <v>0</v>
      </c>
      <c r="AI410" s="38">
        <v>0</v>
      </c>
      <c r="AJ410" s="38">
        <v>0</v>
      </c>
    </row>
    <row r="411" spans="1:36">
      <c r="A411" t="s">
        <v>112</v>
      </c>
      <c r="B411" t="s">
        <v>309</v>
      </c>
      <c r="C411" s="2" t="s">
        <v>111</v>
      </c>
      <c r="D411" s="5" t="s">
        <v>39</v>
      </c>
      <c r="E411" s="38">
        <v>9000</v>
      </c>
      <c r="F411" s="38">
        <v>9000</v>
      </c>
      <c r="G411" s="38">
        <v>9000</v>
      </c>
      <c r="H411" s="38">
        <v>9000</v>
      </c>
      <c r="I411" s="39">
        <v>105.56</v>
      </c>
      <c r="J411" s="39">
        <v>105.56</v>
      </c>
      <c r="K411" s="39">
        <v>133.33000000000001</v>
      </c>
      <c r="L411" s="39">
        <v>133.33000000000001</v>
      </c>
      <c r="M411" s="38">
        <v>400</v>
      </c>
      <c r="N411" s="38">
        <v>400</v>
      </c>
      <c r="O411" s="38">
        <v>400</v>
      </c>
      <c r="P411" s="38">
        <v>400</v>
      </c>
      <c r="Q411" s="38">
        <v>120</v>
      </c>
      <c r="R411" s="38">
        <v>120</v>
      </c>
      <c r="S411" s="38">
        <v>120</v>
      </c>
      <c r="T411" s="38">
        <v>120</v>
      </c>
      <c r="U411" s="38">
        <v>120</v>
      </c>
      <c r="V411" s="38">
        <v>120</v>
      </c>
      <c r="W411" s="38">
        <v>120</v>
      </c>
      <c r="X411" s="38">
        <v>120</v>
      </c>
      <c r="Y411" s="38">
        <v>500</v>
      </c>
      <c r="Z411" s="38">
        <v>500</v>
      </c>
      <c r="AA411" s="38">
        <v>500</v>
      </c>
      <c r="AB411" s="38">
        <v>500</v>
      </c>
      <c r="AC411" s="38">
        <v>2</v>
      </c>
      <c r="AD411" s="38">
        <v>4</v>
      </c>
      <c r="AE411" s="38">
        <v>8</v>
      </c>
      <c r="AF411" s="38">
        <v>8</v>
      </c>
      <c r="AG411" s="38">
        <v>0</v>
      </c>
      <c r="AH411" s="38">
        <v>0</v>
      </c>
      <c r="AI411" s="38">
        <v>0</v>
      </c>
      <c r="AJ411" s="38">
        <v>0</v>
      </c>
    </row>
    <row r="412" spans="1:36">
      <c r="A412" t="s">
        <v>112</v>
      </c>
      <c r="B412" t="s">
        <v>309</v>
      </c>
      <c r="C412" s="2" t="s">
        <v>111</v>
      </c>
      <c r="D412" s="5" t="s">
        <v>39</v>
      </c>
      <c r="E412" s="38">
        <v>10000</v>
      </c>
      <c r="F412" s="38">
        <v>10000</v>
      </c>
      <c r="G412" s="38">
        <v>10000</v>
      </c>
      <c r="H412" s="38">
        <v>10000</v>
      </c>
      <c r="I412" s="39">
        <v>105</v>
      </c>
      <c r="J412" s="39">
        <v>105</v>
      </c>
      <c r="K412" s="39">
        <v>132.5</v>
      </c>
      <c r="L412" s="39">
        <v>132.5</v>
      </c>
      <c r="M412" s="38">
        <v>400</v>
      </c>
      <c r="N412" s="38">
        <v>400</v>
      </c>
      <c r="O412" s="38">
        <v>400</v>
      </c>
      <c r="P412" s="38">
        <v>400</v>
      </c>
      <c r="Q412" s="38">
        <v>120</v>
      </c>
      <c r="R412" s="38">
        <v>120</v>
      </c>
      <c r="S412" s="38">
        <v>120</v>
      </c>
      <c r="T412" s="38">
        <v>120</v>
      </c>
      <c r="U412" s="38">
        <v>120</v>
      </c>
      <c r="V412" s="38">
        <v>120</v>
      </c>
      <c r="W412" s="38">
        <v>120</v>
      </c>
      <c r="X412" s="38">
        <v>120</v>
      </c>
      <c r="Y412" s="38">
        <v>500</v>
      </c>
      <c r="Z412" s="38">
        <v>500</v>
      </c>
      <c r="AA412" s="38">
        <v>500</v>
      </c>
      <c r="AB412" s="38">
        <v>500</v>
      </c>
      <c r="AC412" s="38">
        <v>2</v>
      </c>
      <c r="AD412" s="38">
        <v>4</v>
      </c>
      <c r="AE412" s="38">
        <v>8</v>
      </c>
      <c r="AF412" s="38">
        <v>8</v>
      </c>
      <c r="AG412" s="38">
        <v>0</v>
      </c>
      <c r="AH412" s="38">
        <v>0</v>
      </c>
      <c r="AI412" s="38">
        <v>0</v>
      </c>
      <c r="AJ412" s="38">
        <v>0</v>
      </c>
    </row>
    <row r="413" spans="1:36">
      <c r="A413" t="s">
        <v>112</v>
      </c>
      <c r="B413" t="s">
        <v>309</v>
      </c>
      <c r="C413" s="2" t="s">
        <v>111</v>
      </c>
      <c r="D413" s="5" t="s">
        <v>39</v>
      </c>
      <c r="E413" s="38">
        <v>11000</v>
      </c>
      <c r="F413" s="38">
        <v>11000</v>
      </c>
      <c r="G413" s="38">
        <v>11000</v>
      </c>
      <c r="H413" s="38">
        <v>11000</v>
      </c>
      <c r="I413" s="39">
        <v>103.64</v>
      </c>
      <c r="J413" s="39">
        <v>103.64</v>
      </c>
      <c r="K413" s="39">
        <v>125</v>
      </c>
      <c r="L413" s="39">
        <v>125</v>
      </c>
      <c r="M413" s="38">
        <v>400</v>
      </c>
      <c r="N413" s="38">
        <v>400</v>
      </c>
      <c r="O413" s="38">
        <v>400</v>
      </c>
      <c r="P413" s="38">
        <v>400</v>
      </c>
      <c r="Q413" s="38">
        <v>120</v>
      </c>
      <c r="R413" s="38">
        <v>120</v>
      </c>
      <c r="S413" s="38">
        <v>120</v>
      </c>
      <c r="T413" s="38">
        <v>120</v>
      </c>
      <c r="U413" s="38">
        <v>120</v>
      </c>
      <c r="V413" s="38">
        <v>120</v>
      </c>
      <c r="W413" s="38">
        <v>120</v>
      </c>
      <c r="X413" s="38">
        <v>120</v>
      </c>
      <c r="Y413" s="38">
        <v>500</v>
      </c>
      <c r="Z413" s="38">
        <v>500</v>
      </c>
      <c r="AA413" s="38">
        <v>500</v>
      </c>
      <c r="AB413" s="38">
        <v>500</v>
      </c>
      <c r="AC413" s="38">
        <v>2</v>
      </c>
      <c r="AD413" s="38">
        <v>4</v>
      </c>
      <c r="AE413" s="38">
        <v>8</v>
      </c>
      <c r="AF413" s="38">
        <v>8</v>
      </c>
      <c r="AG413" s="38">
        <v>0</v>
      </c>
      <c r="AH413" s="38">
        <v>0</v>
      </c>
      <c r="AI413" s="38">
        <v>0</v>
      </c>
      <c r="AJ413" s="38">
        <v>0</v>
      </c>
    </row>
    <row r="414" spans="1:36">
      <c r="A414" t="s">
        <v>112</v>
      </c>
      <c r="B414" t="s">
        <v>309</v>
      </c>
      <c r="C414" s="2" t="s">
        <v>111</v>
      </c>
      <c r="D414" s="5" t="s">
        <v>39</v>
      </c>
      <c r="E414" s="38">
        <v>12000</v>
      </c>
      <c r="F414" s="38">
        <v>12000</v>
      </c>
      <c r="G414" s="38">
        <v>12000</v>
      </c>
      <c r="H414" s="38">
        <v>12000</v>
      </c>
      <c r="I414" s="39">
        <v>102.5</v>
      </c>
      <c r="J414" s="39">
        <v>102.5</v>
      </c>
      <c r="K414" s="39">
        <v>122.92</v>
      </c>
      <c r="L414" s="39">
        <v>122.92</v>
      </c>
      <c r="M414" s="38">
        <v>400</v>
      </c>
      <c r="N414" s="38">
        <v>400</v>
      </c>
      <c r="O414" s="38">
        <v>400</v>
      </c>
      <c r="P414" s="38">
        <v>400</v>
      </c>
      <c r="Q414" s="38">
        <v>120</v>
      </c>
      <c r="R414" s="38">
        <v>120</v>
      </c>
      <c r="S414" s="38">
        <v>120</v>
      </c>
      <c r="T414" s="38">
        <v>120</v>
      </c>
      <c r="U414" s="38">
        <v>120</v>
      </c>
      <c r="V414" s="38">
        <v>120</v>
      </c>
      <c r="W414" s="38">
        <v>120</v>
      </c>
      <c r="X414" s="38">
        <v>120</v>
      </c>
      <c r="Y414" s="38">
        <v>500</v>
      </c>
      <c r="Z414" s="38">
        <v>500</v>
      </c>
      <c r="AA414" s="38">
        <v>500</v>
      </c>
      <c r="AB414" s="38">
        <v>500</v>
      </c>
      <c r="AC414" s="38">
        <v>2</v>
      </c>
      <c r="AD414" s="38">
        <v>4</v>
      </c>
      <c r="AE414" s="38">
        <v>8</v>
      </c>
      <c r="AF414" s="38">
        <v>8</v>
      </c>
      <c r="AG414" s="38">
        <v>0</v>
      </c>
      <c r="AH414" s="38">
        <v>0</v>
      </c>
      <c r="AI414" s="38">
        <v>0</v>
      </c>
      <c r="AJ414" s="38">
        <v>0</v>
      </c>
    </row>
    <row r="415" spans="1:36">
      <c r="A415" t="s">
        <v>112</v>
      </c>
      <c r="B415" t="s">
        <v>309</v>
      </c>
      <c r="C415" s="2" t="s">
        <v>111</v>
      </c>
      <c r="D415" s="5" t="s">
        <v>39</v>
      </c>
      <c r="E415" s="38">
        <v>13000</v>
      </c>
      <c r="F415" s="38">
        <v>13000</v>
      </c>
      <c r="G415" s="38">
        <v>13000</v>
      </c>
      <c r="H415" s="38">
        <v>13000</v>
      </c>
      <c r="I415" s="39">
        <v>101.54</v>
      </c>
      <c r="J415" s="39">
        <v>101.54</v>
      </c>
      <c r="K415" s="39">
        <v>121.15</v>
      </c>
      <c r="L415" s="39">
        <v>121.15</v>
      </c>
      <c r="M415" s="38">
        <v>400</v>
      </c>
      <c r="N415" s="38">
        <v>400</v>
      </c>
      <c r="O415" s="38">
        <v>400</v>
      </c>
      <c r="P415" s="38">
        <v>400</v>
      </c>
      <c r="Q415" s="38">
        <v>120</v>
      </c>
      <c r="R415" s="38">
        <v>120</v>
      </c>
      <c r="S415" s="38">
        <v>120</v>
      </c>
      <c r="T415" s="38">
        <v>120</v>
      </c>
      <c r="U415" s="38">
        <v>120</v>
      </c>
      <c r="V415" s="38">
        <v>120</v>
      </c>
      <c r="W415" s="38">
        <v>120</v>
      </c>
      <c r="X415" s="38">
        <v>120</v>
      </c>
      <c r="Y415" s="38">
        <v>500</v>
      </c>
      <c r="Z415" s="38">
        <v>500</v>
      </c>
      <c r="AA415" s="38">
        <v>500</v>
      </c>
      <c r="AB415" s="38">
        <v>500</v>
      </c>
      <c r="AC415" s="38">
        <v>2</v>
      </c>
      <c r="AD415" s="38">
        <v>4</v>
      </c>
      <c r="AE415" s="38">
        <v>8</v>
      </c>
      <c r="AF415" s="38">
        <v>8</v>
      </c>
      <c r="AG415" s="38">
        <v>0</v>
      </c>
      <c r="AH415" s="38">
        <v>0</v>
      </c>
      <c r="AI415" s="38">
        <v>0</v>
      </c>
      <c r="AJ415" s="38">
        <v>0</v>
      </c>
    </row>
    <row r="416" spans="1:36">
      <c r="A416" t="s">
        <v>112</v>
      </c>
      <c r="B416" t="s">
        <v>309</v>
      </c>
      <c r="C416" s="2" t="s">
        <v>111</v>
      </c>
      <c r="D416" s="5" t="s">
        <v>39</v>
      </c>
      <c r="E416" s="38">
        <v>14000</v>
      </c>
      <c r="F416" s="38">
        <v>14000</v>
      </c>
      <c r="G416" s="38">
        <v>14000</v>
      </c>
      <c r="H416" s="38">
        <v>14000</v>
      </c>
      <c r="I416" s="39">
        <v>100.71</v>
      </c>
      <c r="J416" s="39">
        <v>100.71</v>
      </c>
      <c r="K416" s="39">
        <v>119.64</v>
      </c>
      <c r="L416" s="39">
        <v>119.64</v>
      </c>
      <c r="M416" s="38">
        <v>400</v>
      </c>
      <c r="N416" s="38">
        <v>400</v>
      </c>
      <c r="O416" s="38">
        <v>400</v>
      </c>
      <c r="P416" s="38">
        <v>400</v>
      </c>
      <c r="Q416" s="38">
        <v>120</v>
      </c>
      <c r="R416" s="38">
        <v>120</v>
      </c>
      <c r="S416" s="38">
        <v>120</v>
      </c>
      <c r="T416" s="38">
        <v>120</v>
      </c>
      <c r="U416" s="38">
        <v>120</v>
      </c>
      <c r="V416" s="38">
        <v>120</v>
      </c>
      <c r="W416" s="38">
        <v>120</v>
      </c>
      <c r="X416" s="38">
        <v>120</v>
      </c>
      <c r="Y416" s="38">
        <v>500</v>
      </c>
      <c r="Z416" s="38">
        <v>500</v>
      </c>
      <c r="AA416" s="38">
        <v>500</v>
      </c>
      <c r="AB416" s="38">
        <v>500</v>
      </c>
      <c r="AC416" s="38">
        <v>2</v>
      </c>
      <c r="AD416" s="38">
        <v>4</v>
      </c>
      <c r="AE416" s="38">
        <v>8</v>
      </c>
      <c r="AF416" s="38">
        <v>8</v>
      </c>
      <c r="AG416" s="38">
        <v>0</v>
      </c>
      <c r="AH416" s="38">
        <v>0</v>
      </c>
      <c r="AI416" s="38">
        <v>0</v>
      </c>
      <c r="AJ416" s="38">
        <v>0</v>
      </c>
    </row>
    <row r="417" spans="1:36">
      <c r="A417" t="s">
        <v>112</v>
      </c>
      <c r="B417" t="s">
        <v>309</v>
      </c>
      <c r="C417" s="2" t="s">
        <v>111</v>
      </c>
      <c r="D417" s="5" t="s">
        <v>39</v>
      </c>
      <c r="E417" s="38">
        <v>15000</v>
      </c>
      <c r="F417" s="38">
        <v>15000</v>
      </c>
      <c r="G417" s="38">
        <v>15000</v>
      </c>
      <c r="H417" s="38">
        <v>15000</v>
      </c>
      <c r="I417" s="39">
        <v>100</v>
      </c>
      <c r="J417" s="39">
        <v>100</v>
      </c>
      <c r="K417" s="39">
        <v>118.33</v>
      </c>
      <c r="L417" s="39">
        <v>118.33</v>
      </c>
      <c r="M417" s="38">
        <v>400</v>
      </c>
      <c r="N417" s="38">
        <v>400</v>
      </c>
      <c r="O417" s="38">
        <v>400</v>
      </c>
      <c r="P417" s="38">
        <v>400</v>
      </c>
      <c r="Q417" s="38">
        <v>120</v>
      </c>
      <c r="R417" s="38">
        <v>120</v>
      </c>
      <c r="S417" s="38">
        <v>120</v>
      </c>
      <c r="T417" s="38">
        <v>120</v>
      </c>
      <c r="U417" s="38">
        <v>120</v>
      </c>
      <c r="V417" s="38">
        <v>120</v>
      </c>
      <c r="W417" s="38">
        <v>120</v>
      </c>
      <c r="X417" s="38">
        <v>120</v>
      </c>
      <c r="Y417" s="38">
        <v>500</v>
      </c>
      <c r="Z417" s="38">
        <v>500</v>
      </c>
      <c r="AA417" s="38">
        <v>500</v>
      </c>
      <c r="AB417" s="38">
        <v>500</v>
      </c>
      <c r="AC417" s="38">
        <v>2</v>
      </c>
      <c r="AD417" s="38">
        <v>4</v>
      </c>
      <c r="AE417" s="38">
        <v>8</v>
      </c>
      <c r="AF417" s="38">
        <v>8</v>
      </c>
      <c r="AG417" s="38">
        <v>0</v>
      </c>
      <c r="AH417" s="38">
        <v>0</v>
      </c>
      <c r="AI417" s="38">
        <v>0</v>
      </c>
      <c r="AJ417" s="38">
        <v>0</v>
      </c>
    </row>
    <row r="418" spans="1:36">
      <c r="A418" t="s">
        <v>112</v>
      </c>
      <c r="B418" t="s">
        <v>309</v>
      </c>
      <c r="C418" s="2" t="s">
        <v>111</v>
      </c>
      <c r="D418" s="5" t="s">
        <v>39</v>
      </c>
      <c r="E418" s="38">
        <v>16000</v>
      </c>
      <c r="F418" s="38">
        <v>16000</v>
      </c>
      <c r="G418" s="38">
        <v>16000</v>
      </c>
      <c r="H418" s="38">
        <v>16000</v>
      </c>
      <c r="I418" s="39">
        <v>99.38</v>
      </c>
      <c r="J418" s="39">
        <v>99.38</v>
      </c>
      <c r="K418" s="39">
        <v>117.19</v>
      </c>
      <c r="L418" s="39">
        <v>117.19</v>
      </c>
      <c r="M418" s="38">
        <v>400</v>
      </c>
      <c r="N418" s="38">
        <v>400</v>
      </c>
      <c r="O418" s="38">
        <v>400</v>
      </c>
      <c r="P418" s="38">
        <v>400</v>
      </c>
      <c r="Q418" s="38">
        <v>120</v>
      </c>
      <c r="R418" s="38">
        <v>120</v>
      </c>
      <c r="S418" s="38">
        <v>120</v>
      </c>
      <c r="T418" s="38">
        <v>120</v>
      </c>
      <c r="U418" s="38">
        <v>120</v>
      </c>
      <c r="V418" s="38">
        <v>120</v>
      </c>
      <c r="W418" s="38">
        <v>120</v>
      </c>
      <c r="X418" s="38">
        <v>120</v>
      </c>
      <c r="Y418" s="38">
        <v>500</v>
      </c>
      <c r="Z418" s="38">
        <v>500</v>
      </c>
      <c r="AA418" s="38">
        <v>500</v>
      </c>
      <c r="AB418" s="38">
        <v>500</v>
      </c>
      <c r="AC418" s="38">
        <v>2</v>
      </c>
      <c r="AD418" s="38">
        <v>4</v>
      </c>
      <c r="AE418" s="38">
        <v>8</v>
      </c>
      <c r="AF418" s="38">
        <v>8</v>
      </c>
      <c r="AG418" s="38">
        <v>0</v>
      </c>
      <c r="AH418" s="38">
        <v>0</v>
      </c>
      <c r="AI418" s="38">
        <v>0</v>
      </c>
      <c r="AJ418" s="38">
        <v>0</v>
      </c>
    </row>
    <row r="419" spans="1:36">
      <c r="A419" t="s">
        <v>112</v>
      </c>
      <c r="B419" t="s">
        <v>309</v>
      </c>
      <c r="C419" s="2" t="s">
        <v>111</v>
      </c>
      <c r="D419" s="5" t="s">
        <v>39</v>
      </c>
      <c r="E419" s="38">
        <v>17000</v>
      </c>
      <c r="F419" s="38">
        <v>17000</v>
      </c>
      <c r="G419" s="38">
        <v>17000</v>
      </c>
      <c r="H419" s="38">
        <v>17000</v>
      </c>
      <c r="I419" s="39">
        <v>98.82</v>
      </c>
      <c r="J419" s="39">
        <v>98.82</v>
      </c>
      <c r="K419" s="39">
        <v>116.18</v>
      </c>
      <c r="L419" s="39">
        <v>116.18</v>
      </c>
      <c r="M419" s="38">
        <v>400</v>
      </c>
      <c r="N419" s="38">
        <v>400</v>
      </c>
      <c r="O419" s="38">
        <v>400</v>
      </c>
      <c r="P419" s="38">
        <v>400</v>
      </c>
      <c r="Q419" s="38">
        <v>120</v>
      </c>
      <c r="R419" s="38">
        <v>120</v>
      </c>
      <c r="S419" s="38">
        <v>120</v>
      </c>
      <c r="T419" s="38">
        <v>120</v>
      </c>
      <c r="U419" s="38">
        <v>120</v>
      </c>
      <c r="V419" s="38">
        <v>120</v>
      </c>
      <c r="W419" s="38">
        <v>120</v>
      </c>
      <c r="X419" s="38">
        <v>120</v>
      </c>
      <c r="Y419" s="38">
        <v>500</v>
      </c>
      <c r="Z419" s="38">
        <v>500</v>
      </c>
      <c r="AA419" s="38">
        <v>500</v>
      </c>
      <c r="AB419" s="38">
        <v>500</v>
      </c>
      <c r="AC419" s="38">
        <v>2</v>
      </c>
      <c r="AD419" s="38">
        <v>4</v>
      </c>
      <c r="AE419" s="38">
        <v>8</v>
      </c>
      <c r="AF419" s="38">
        <v>8</v>
      </c>
      <c r="AG419" s="38">
        <v>0</v>
      </c>
      <c r="AH419" s="38">
        <v>0</v>
      </c>
      <c r="AI419" s="38">
        <v>0</v>
      </c>
      <c r="AJ419" s="38">
        <v>0</v>
      </c>
    </row>
    <row r="420" spans="1:36">
      <c r="A420" t="s">
        <v>112</v>
      </c>
      <c r="B420" t="s">
        <v>309</v>
      </c>
      <c r="C420" s="2" t="s">
        <v>111</v>
      </c>
      <c r="D420" s="5" t="s">
        <v>39</v>
      </c>
      <c r="E420" s="38">
        <v>18000</v>
      </c>
      <c r="F420" s="38">
        <v>18000</v>
      </c>
      <c r="G420" s="38">
        <v>18000</v>
      </c>
      <c r="H420" s="38">
        <v>18000</v>
      </c>
      <c r="I420" s="39">
        <v>98.33</v>
      </c>
      <c r="J420" s="39">
        <v>98.33</v>
      </c>
      <c r="K420" s="39">
        <v>115.28</v>
      </c>
      <c r="L420" s="39">
        <v>115.28</v>
      </c>
      <c r="M420" s="38">
        <v>400</v>
      </c>
      <c r="N420" s="38">
        <v>400</v>
      </c>
      <c r="O420" s="38">
        <v>400</v>
      </c>
      <c r="P420" s="38">
        <v>400</v>
      </c>
      <c r="Q420" s="38">
        <v>120</v>
      </c>
      <c r="R420" s="38">
        <v>120</v>
      </c>
      <c r="S420" s="38">
        <v>120</v>
      </c>
      <c r="T420" s="38">
        <v>120</v>
      </c>
      <c r="U420" s="38">
        <v>120</v>
      </c>
      <c r="V420" s="38">
        <v>120</v>
      </c>
      <c r="W420" s="38">
        <v>120</v>
      </c>
      <c r="X420" s="38">
        <v>120</v>
      </c>
      <c r="Y420" s="38">
        <v>500</v>
      </c>
      <c r="Z420" s="38">
        <v>500</v>
      </c>
      <c r="AA420" s="38">
        <v>500</v>
      </c>
      <c r="AB420" s="38">
        <v>500</v>
      </c>
      <c r="AC420" s="38">
        <v>2</v>
      </c>
      <c r="AD420" s="38">
        <v>4</v>
      </c>
      <c r="AE420" s="38">
        <v>8</v>
      </c>
      <c r="AF420" s="38">
        <v>8</v>
      </c>
      <c r="AG420" s="38">
        <v>0</v>
      </c>
      <c r="AH420" s="38">
        <v>0</v>
      </c>
      <c r="AI420" s="38">
        <v>0</v>
      </c>
      <c r="AJ420" s="38">
        <v>0</v>
      </c>
    </row>
    <row r="421" spans="1:36">
      <c r="A421" t="s">
        <v>112</v>
      </c>
      <c r="B421" t="s">
        <v>309</v>
      </c>
      <c r="C421" s="2" t="s">
        <v>111</v>
      </c>
      <c r="D421" s="5" t="s">
        <v>39</v>
      </c>
      <c r="E421" s="38">
        <v>19000</v>
      </c>
      <c r="F421" s="38">
        <v>19000</v>
      </c>
      <c r="G421" s="38">
        <v>19000</v>
      </c>
      <c r="H421" s="38">
        <v>19000</v>
      </c>
      <c r="I421" s="39">
        <v>97.89</v>
      </c>
      <c r="J421" s="39">
        <v>97.89</v>
      </c>
      <c r="K421" s="39">
        <v>114.47</v>
      </c>
      <c r="L421" s="39">
        <v>114.47</v>
      </c>
      <c r="M421" s="38">
        <v>400</v>
      </c>
      <c r="N421" s="38">
        <v>400</v>
      </c>
      <c r="O421" s="38">
        <v>400</v>
      </c>
      <c r="P421" s="38">
        <v>400</v>
      </c>
      <c r="Q421" s="38">
        <v>120</v>
      </c>
      <c r="R421" s="38">
        <v>120</v>
      </c>
      <c r="S421" s="38">
        <v>120</v>
      </c>
      <c r="T421" s="38">
        <v>120</v>
      </c>
      <c r="U421" s="38">
        <v>120</v>
      </c>
      <c r="V421" s="38">
        <v>120</v>
      </c>
      <c r="W421" s="38">
        <v>120</v>
      </c>
      <c r="X421" s="38">
        <v>120</v>
      </c>
      <c r="Y421" s="38">
        <v>500</v>
      </c>
      <c r="Z421" s="38">
        <v>500</v>
      </c>
      <c r="AA421" s="38">
        <v>500</v>
      </c>
      <c r="AB421" s="38">
        <v>500</v>
      </c>
      <c r="AC421" s="38">
        <v>2</v>
      </c>
      <c r="AD421" s="38">
        <v>4</v>
      </c>
      <c r="AE421" s="38">
        <v>8</v>
      </c>
      <c r="AF421" s="38">
        <v>8</v>
      </c>
      <c r="AG421" s="38">
        <v>0</v>
      </c>
      <c r="AH421" s="38">
        <v>0</v>
      </c>
      <c r="AI421" s="38">
        <v>0</v>
      </c>
      <c r="AJ421" s="38">
        <v>0</v>
      </c>
    </row>
    <row r="422" spans="1:36">
      <c r="A422" t="s">
        <v>112</v>
      </c>
      <c r="B422" t="s">
        <v>309</v>
      </c>
      <c r="C422" s="2" t="s">
        <v>111</v>
      </c>
      <c r="D422" s="5" t="s">
        <v>39</v>
      </c>
      <c r="E422" s="38">
        <v>20000</v>
      </c>
      <c r="F422" s="38">
        <v>20000</v>
      </c>
      <c r="G422" s="38">
        <v>20000</v>
      </c>
      <c r="H422" s="38">
        <v>20000</v>
      </c>
      <c r="I422" s="39">
        <v>97.5</v>
      </c>
      <c r="J422" s="39">
        <v>97.5</v>
      </c>
      <c r="K422" s="39">
        <v>113.75</v>
      </c>
      <c r="L422" s="39">
        <v>113.75</v>
      </c>
      <c r="M422" s="38">
        <v>400</v>
      </c>
      <c r="N422" s="38">
        <v>400</v>
      </c>
      <c r="O422" s="38">
        <v>400</v>
      </c>
      <c r="P422" s="38">
        <v>400</v>
      </c>
      <c r="Q422" s="38">
        <v>120</v>
      </c>
      <c r="R422" s="38">
        <v>120</v>
      </c>
      <c r="S422" s="38">
        <v>120</v>
      </c>
      <c r="T422" s="38">
        <v>120</v>
      </c>
      <c r="U422" s="38">
        <v>120</v>
      </c>
      <c r="V422" s="38">
        <v>120</v>
      </c>
      <c r="W422" s="38">
        <v>120</v>
      </c>
      <c r="X422" s="38">
        <v>120</v>
      </c>
      <c r="Y422" s="38">
        <v>500</v>
      </c>
      <c r="Z422" s="38">
        <v>500</v>
      </c>
      <c r="AA422" s="38">
        <v>500</v>
      </c>
      <c r="AB422" s="38">
        <v>500</v>
      </c>
      <c r="AC422" s="38">
        <v>2</v>
      </c>
      <c r="AD422" s="38">
        <v>4</v>
      </c>
      <c r="AE422" s="38">
        <v>8</v>
      </c>
      <c r="AF422" s="38">
        <v>8</v>
      </c>
      <c r="AG422" s="38">
        <v>0</v>
      </c>
      <c r="AH422" s="38">
        <v>0</v>
      </c>
      <c r="AI422" s="38">
        <v>0</v>
      </c>
      <c r="AJ422" s="38">
        <v>0</v>
      </c>
    </row>
    <row r="423" spans="1:36">
      <c r="A423" t="s">
        <v>112</v>
      </c>
      <c r="B423" t="s">
        <v>309</v>
      </c>
      <c r="C423" s="2" t="s">
        <v>111</v>
      </c>
      <c r="D423" s="5" t="s">
        <v>39</v>
      </c>
      <c r="E423" s="38">
        <v>21000</v>
      </c>
      <c r="F423" s="38">
        <v>21000</v>
      </c>
      <c r="G423" s="38">
        <v>21000</v>
      </c>
      <c r="H423" s="38">
        <v>21000</v>
      </c>
      <c r="I423" s="39">
        <v>97.14</v>
      </c>
      <c r="J423" s="39">
        <v>97.14</v>
      </c>
      <c r="K423" s="39">
        <v>113.1</v>
      </c>
      <c r="L423" s="39">
        <v>113.1</v>
      </c>
      <c r="M423" s="38">
        <v>400</v>
      </c>
      <c r="N423" s="38">
        <v>400</v>
      </c>
      <c r="O423" s="38">
        <v>400</v>
      </c>
      <c r="P423" s="38">
        <v>400</v>
      </c>
      <c r="Q423" s="38">
        <v>120</v>
      </c>
      <c r="R423" s="38">
        <v>120</v>
      </c>
      <c r="S423" s="38">
        <v>120</v>
      </c>
      <c r="T423" s="38">
        <v>120</v>
      </c>
      <c r="U423" s="38">
        <v>120</v>
      </c>
      <c r="V423" s="38">
        <v>120</v>
      </c>
      <c r="W423" s="38">
        <v>120</v>
      </c>
      <c r="X423" s="38">
        <v>120</v>
      </c>
      <c r="Y423" s="38">
        <v>500</v>
      </c>
      <c r="Z423" s="38">
        <v>500</v>
      </c>
      <c r="AA423" s="38">
        <v>500</v>
      </c>
      <c r="AB423" s="38">
        <v>500</v>
      </c>
      <c r="AC423" s="38">
        <v>2</v>
      </c>
      <c r="AD423" s="38">
        <v>4</v>
      </c>
      <c r="AE423" s="38">
        <v>8</v>
      </c>
      <c r="AF423" s="38">
        <v>8</v>
      </c>
      <c r="AG423" s="38">
        <v>0</v>
      </c>
      <c r="AH423" s="38">
        <v>0</v>
      </c>
      <c r="AI423" s="38">
        <v>0</v>
      </c>
      <c r="AJ423" s="38">
        <v>0</v>
      </c>
    </row>
    <row r="424" spans="1:36">
      <c r="A424" t="s">
        <v>112</v>
      </c>
      <c r="B424" t="s">
        <v>309</v>
      </c>
      <c r="C424" s="2" t="s">
        <v>111</v>
      </c>
      <c r="D424" s="5" t="s">
        <v>39</v>
      </c>
      <c r="E424" s="38">
        <v>22000</v>
      </c>
      <c r="F424" s="38">
        <v>22000</v>
      </c>
      <c r="G424" s="38">
        <v>22000</v>
      </c>
      <c r="H424" s="38">
        <v>22000</v>
      </c>
      <c r="I424" s="39">
        <v>96.82</v>
      </c>
      <c r="J424" s="39">
        <v>96.82</v>
      </c>
      <c r="K424" s="39">
        <v>112.5</v>
      </c>
      <c r="L424" s="39">
        <v>112.5</v>
      </c>
      <c r="M424" s="38">
        <v>400</v>
      </c>
      <c r="N424" s="38">
        <v>400</v>
      </c>
      <c r="O424" s="38">
        <v>400</v>
      </c>
      <c r="P424" s="38">
        <v>400</v>
      </c>
      <c r="Q424" s="38">
        <v>120</v>
      </c>
      <c r="R424" s="38">
        <v>120</v>
      </c>
      <c r="S424" s="38">
        <v>120</v>
      </c>
      <c r="T424" s="38">
        <v>120</v>
      </c>
      <c r="U424" s="38">
        <v>120</v>
      </c>
      <c r="V424" s="38">
        <v>120</v>
      </c>
      <c r="W424" s="38">
        <v>120</v>
      </c>
      <c r="X424" s="38">
        <v>120</v>
      </c>
      <c r="Y424" s="38">
        <v>500</v>
      </c>
      <c r="Z424" s="38">
        <v>500</v>
      </c>
      <c r="AA424" s="38">
        <v>500</v>
      </c>
      <c r="AB424" s="38">
        <v>500</v>
      </c>
      <c r="AC424" s="38">
        <v>2</v>
      </c>
      <c r="AD424" s="38">
        <v>4</v>
      </c>
      <c r="AE424" s="38">
        <v>8</v>
      </c>
      <c r="AF424" s="38">
        <v>8</v>
      </c>
      <c r="AG424" s="38">
        <v>0</v>
      </c>
      <c r="AH424" s="38">
        <v>0</v>
      </c>
      <c r="AI424" s="38">
        <v>0</v>
      </c>
      <c r="AJ424" s="38">
        <v>0</v>
      </c>
    </row>
    <row r="425" spans="1:36">
      <c r="A425" t="s">
        <v>112</v>
      </c>
      <c r="B425" t="s">
        <v>309</v>
      </c>
      <c r="C425" s="2" t="s">
        <v>111</v>
      </c>
      <c r="D425" s="5" t="s">
        <v>39</v>
      </c>
      <c r="E425" s="38">
        <v>23000</v>
      </c>
      <c r="F425" s="38">
        <v>23000</v>
      </c>
      <c r="G425" s="38">
        <v>23000</v>
      </c>
      <c r="H425" s="38">
        <v>23000</v>
      </c>
      <c r="I425" s="39">
        <v>96.52</v>
      </c>
      <c r="J425" s="39">
        <v>96.52</v>
      </c>
      <c r="K425" s="39">
        <v>111.96</v>
      </c>
      <c r="L425" s="39">
        <v>111.96</v>
      </c>
      <c r="M425" s="38">
        <v>400</v>
      </c>
      <c r="N425" s="38">
        <v>400</v>
      </c>
      <c r="O425" s="38">
        <v>400</v>
      </c>
      <c r="P425" s="38">
        <v>400</v>
      </c>
      <c r="Q425" s="38">
        <v>120</v>
      </c>
      <c r="R425" s="38">
        <v>120</v>
      </c>
      <c r="S425" s="38">
        <v>120</v>
      </c>
      <c r="T425" s="38">
        <v>120</v>
      </c>
      <c r="U425" s="38">
        <v>120</v>
      </c>
      <c r="V425" s="38">
        <v>120</v>
      </c>
      <c r="W425" s="38">
        <v>120</v>
      </c>
      <c r="X425" s="38">
        <v>120</v>
      </c>
      <c r="Y425" s="38">
        <v>500</v>
      </c>
      <c r="Z425" s="38">
        <v>500</v>
      </c>
      <c r="AA425" s="38">
        <v>500</v>
      </c>
      <c r="AB425" s="38">
        <v>500</v>
      </c>
      <c r="AC425" s="38">
        <v>2</v>
      </c>
      <c r="AD425" s="38">
        <v>4</v>
      </c>
      <c r="AE425" s="38">
        <v>8</v>
      </c>
      <c r="AF425" s="38">
        <v>8</v>
      </c>
      <c r="AG425" s="38">
        <v>0</v>
      </c>
      <c r="AH425" s="38">
        <v>0</v>
      </c>
      <c r="AI425" s="38">
        <v>0</v>
      </c>
      <c r="AJ425" s="38">
        <v>0</v>
      </c>
    </row>
    <row r="426" spans="1:36">
      <c r="A426" t="s">
        <v>112</v>
      </c>
      <c r="B426" t="s">
        <v>309</v>
      </c>
      <c r="C426" s="2" t="s">
        <v>111</v>
      </c>
      <c r="D426" s="5" t="s">
        <v>39</v>
      </c>
      <c r="E426" s="38">
        <v>24000</v>
      </c>
      <c r="F426" s="38">
        <v>24000</v>
      </c>
      <c r="G426" s="38">
        <v>24000</v>
      </c>
      <c r="H426" s="38">
        <v>24000</v>
      </c>
      <c r="I426" s="39">
        <v>96.25</v>
      </c>
      <c r="J426" s="39">
        <v>96.25</v>
      </c>
      <c r="K426" s="39">
        <v>111.46</v>
      </c>
      <c r="L426" s="39">
        <v>111.46</v>
      </c>
      <c r="M426" s="38">
        <v>400</v>
      </c>
      <c r="N426" s="38">
        <v>400</v>
      </c>
      <c r="O426" s="38">
        <v>400</v>
      </c>
      <c r="P426" s="38">
        <v>400</v>
      </c>
      <c r="Q426" s="38">
        <v>120</v>
      </c>
      <c r="R426" s="38">
        <v>120</v>
      </c>
      <c r="S426" s="38">
        <v>120</v>
      </c>
      <c r="T426" s="38">
        <v>120</v>
      </c>
      <c r="U426" s="38">
        <v>120</v>
      </c>
      <c r="V426" s="38">
        <v>120</v>
      </c>
      <c r="W426" s="38">
        <v>120</v>
      </c>
      <c r="X426" s="38">
        <v>120</v>
      </c>
      <c r="Y426" s="38">
        <v>500</v>
      </c>
      <c r="Z426" s="38">
        <v>500</v>
      </c>
      <c r="AA426" s="38">
        <v>500</v>
      </c>
      <c r="AB426" s="38">
        <v>500</v>
      </c>
      <c r="AC426" s="38">
        <v>2</v>
      </c>
      <c r="AD426" s="38">
        <v>4</v>
      </c>
      <c r="AE426" s="38">
        <v>8</v>
      </c>
      <c r="AF426" s="38">
        <v>8</v>
      </c>
      <c r="AG426" s="38">
        <v>0</v>
      </c>
      <c r="AH426" s="38">
        <v>0</v>
      </c>
      <c r="AI426" s="38">
        <v>0</v>
      </c>
      <c r="AJ426" s="38">
        <v>0</v>
      </c>
    </row>
    <row r="427" spans="1:36">
      <c r="A427" t="s">
        <v>112</v>
      </c>
      <c r="B427" t="s">
        <v>309</v>
      </c>
      <c r="C427" s="2" t="s">
        <v>111</v>
      </c>
      <c r="D427" s="5" t="s">
        <v>39</v>
      </c>
      <c r="E427" s="38">
        <v>25000</v>
      </c>
      <c r="F427" s="38">
        <v>25000</v>
      </c>
      <c r="G427" s="38">
        <v>25000</v>
      </c>
      <c r="H427" s="38">
        <v>25000</v>
      </c>
      <c r="I427" s="39">
        <v>96</v>
      </c>
      <c r="J427" s="39">
        <v>96</v>
      </c>
      <c r="K427" s="39">
        <v>111</v>
      </c>
      <c r="L427" s="39">
        <v>111</v>
      </c>
      <c r="M427" s="38">
        <v>400</v>
      </c>
      <c r="N427" s="38">
        <v>400</v>
      </c>
      <c r="O427" s="38">
        <v>400</v>
      </c>
      <c r="P427" s="38">
        <v>400</v>
      </c>
      <c r="Q427" s="38">
        <v>120</v>
      </c>
      <c r="R427" s="38">
        <v>120</v>
      </c>
      <c r="S427" s="38">
        <v>120</v>
      </c>
      <c r="T427" s="38">
        <v>120</v>
      </c>
      <c r="U427" s="38">
        <v>120</v>
      </c>
      <c r="V427" s="38">
        <v>120</v>
      </c>
      <c r="W427" s="38">
        <v>120</v>
      </c>
      <c r="X427" s="38">
        <v>120</v>
      </c>
      <c r="Y427" s="38">
        <v>500</v>
      </c>
      <c r="Z427" s="38">
        <v>500</v>
      </c>
      <c r="AA427" s="38">
        <v>500</v>
      </c>
      <c r="AB427" s="38">
        <v>500</v>
      </c>
      <c r="AC427" s="38">
        <v>2</v>
      </c>
      <c r="AD427" s="38">
        <v>4</v>
      </c>
      <c r="AE427" s="38">
        <v>8</v>
      </c>
      <c r="AF427" s="38">
        <v>8</v>
      </c>
      <c r="AG427" s="38">
        <v>0</v>
      </c>
      <c r="AH427" s="38">
        <v>0</v>
      </c>
      <c r="AI427" s="38">
        <v>0</v>
      </c>
      <c r="AJ427" s="38">
        <v>0</v>
      </c>
    </row>
    <row r="428" spans="1:36">
      <c r="A428" t="s">
        <v>112</v>
      </c>
      <c r="B428" t="s">
        <v>309</v>
      </c>
      <c r="C428" s="2" t="s">
        <v>111</v>
      </c>
      <c r="D428" s="5" t="s">
        <v>39</v>
      </c>
      <c r="E428" s="38">
        <v>26000</v>
      </c>
      <c r="F428" s="38">
        <v>26000</v>
      </c>
      <c r="G428" s="38">
        <v>26000</v>
      </c>
      <c r="H428" s="38">
        <v>26000</v>
      </c>
      <c r="I428" s="39">
        <v>95.77</v>
      </c>
      <c r="J428" s="39">
        <v>95.77</v>
      </c>
      <c r="K428" s="39">
        <v>110.58</v>
      </c>
      <c r="L428" s="39">
        <v>110.58</v>
      </c>
      <c r="M428" s="38">
        <v>400</v>
      </c>
      <c r="N428" s="38">
        <v>400</v>
      </c>
      <c r="O428" s="38">
        <v>400</v>
      </c>
      <c r="P428" s="38">
        <v>400</v>
      </c>
      <c r="Q428" s="38">
        <v>120</v>
      </c>
      <c r="R428" s="38">
        <v>120</v>
      </c>
      <c r="S428" s="38">
        <v>120</v>
      </c>
      <c r="T428" s="38">
        <v>120</v>
      </c>
      <c r="U428" s="38">
        <v>120</v>
      </c>
      <c r="V428" s="38">
        <v>120</v>
      </c>
      <c r="W428" s="38">
        <v>120</v>
      </c>
      <c r="X428" s="38">
        <v>120</v>
      </c>
      <c r="Y428" s="38">
        <v>500</v>
      </c>
      <c r="Z428" s="38">
        <v>500</v>
      </c>
      <c r="AA428" s="38">
        <v>500</v>
      </c>
      <c r="AB428" s="38">
        <v>500</v>
      </c>
      <c r="AC428" s="38">
        <v>2</v>
      </c>
      <c r="AD428" s="38">
        <v>4</v>
      </c>
      <c r="AE428" s="38">
        <v>8</v>
      </c>
      <c r="AF428" s="38">
        <v>8</v>
      </c>
      <c r="AG428" s="38">
        <v>0</v>
      </c>
      <c r="AH428" s="38">
        <v>0</v>
      </c>
      <c r="AI428" s="38">
        <v>0</v>
      </c>
      <c r="AJ428" s="38">
        <v>0</v>
      </c>
    </row>
    <row r="429" spans="1:36">
      <c r="A429" t="s">
        <v>112</v>
      </c>
      <c r="B429" t="s">
        <v>309</v>
      </c>
      <c r="C429" s="2" t="s">
        <v>111</v>
      </c>
      <c r="D429" s="5" t="s">
        <v>39</v>
      </c>
      <c r="E429" s="38">
        <v>27000</v>
      </c>
      <c r="F429" s="38">
        <v>27000</v>
      </c>
      <c r="G429" s="38">
        <v>27000</v>
      </c>
      <c r="H429" s="38">
        <v>27000</v>
      </c>
      <c r="I429" s="39">
        <v>95.56</v>
      </c>
      <c r="J429" s="39">
        <v>95.56</v>
      </c>
      <c r="K429" s="39">
        <v>110.19</v>
      </c>
      <c r="L429" s="39">
        <v>110.19</v>
      </c>
      <c r="M429" s="38">
        <v>400</v>
      </c>
      <c r="N429" s="38">
        <v>400</v>
      </c>
      <c r="O429" s="38">
        <v>400</v>
      </c>
      <c r="P429" s="38">
        <v>400</v>
      </c>
      <c r="Q429" s="38">
        <v>120</v>
      </c>
      <c r="R429" s="38">
        <v>120</v>
      </c>
      <c r="S429" s="38">
        <v>120</v>
      </c>
      <c r="T429" s="38">
        <v>120</v>
      </c>
      <c r="U429" s="38">
        <v>120</v>
      </c>
      <c r="V429" s="38">
        <v>120</v>
      </c>
      <c r="W429" s="38">
        <v>120</v>
      </c>
      <c r="X429" s="38">
        <v>120</v>
      </c>
      <c r="Y429" s="38">
        <v>500</v>
      </c>
      <c r="Z429" s="38">
        <v>500</v>
      </c>
      <c r="AA429" s="38">
        <v>500</v>
      </c>
      <c r="AB429" s="38">
        <v>500</v>
      </c>
      <c r="AC429" s="38">
        <v>2</v>
      </c>
      <c r="AD429" s="38">
        <v>4</v>
      </c>
      <c r="AE429" s="38">
        <v>8</v>
      </c>
      <c r="AF429" s="38">
        <v>8</v>
      </c>
      <c r="AG429" s="38">
        <v>0</v>
      </c>
      <c r="AH429" s="38">
        <v>0</v>
      </c>
      <c r="AI429" s="38">
        <v>0</v>
      </c>
      <c r="AJ429" s="38">
        <v>0</v>
      </c>
    </row>
    <row r="430" spans="1:36">
      <c r="A430" t="s">
        <v>112</v>
      </c>
      <c r="B430" t="s">
        <v>309</v>
      </c>
      <c r="C430" s="2" t="s">
        <v>111</v>
      </c>
      <c r="D430" s="5" t="s">
        <v>39</v>
      </c>
      <c r="E430" s="38">
        <v>28000</v>
      </c>
      <c r="F430" s="38">
        <v>28000</v>
      </c>
      <c r="G430" s="38">
        <v>28000</v>
      </c>
      <c r="H430" s="38">
        <v>28000</v>
      </c>
      <c r="I430" s="39">
        <v>95.36</v>
      </c>
      <c r="J430" s="39">
        <v>95.36</v>
      </c>
      <c r="K430" s="39">
        <v>109.82</v>
      </c>
      <c r="L430" s="39">
        <v>109.82</v>
      </c>
      <c r="M430" s="38">
        <v>400</v>
      </c>
      <c r="N430" s="38">
        <v>400</v>
      </c>
      <c r="O430" s="38">
        <v>400</v>
      </c>
      <c r="P430" s="38">
        <v>400</v>
      </c>
      <c r="Q430" s="38">
        <v>120</v>
      </c>
      <c r="R430" s="38">
        <v>120</v>
      </c>
      <c r="S430" s="38">
        <v>120</v>
      </c>
      <c r="T430" s="38">
        <v>120</v>
      </c>
      <c r="U430" s="38">
        <v>120</v>
      </c>
      <c r="V430" s="38">
        <v>120</v>
      </c>
      <c r="W430" s="38">
        <v>120</v>
      </c>
      <c r="X430" s="38">
        <v>120</v>
      </c>
      <c r="Y430" s="38">
        <v>500</v>
      </c>
      <c r="Z430" s="38">
        <v>500</v>
      </c>
      <c r="AA430" s="38">
        <v>500</v>
      </c>
      <c r="AB430" s="38">
        <v>500</v>
      </c>
      <c r="AC430" s="38">
        <v>2</v>
      </c>
      <c r="AD430" s="38">
        <v>4</v>
      </c>
      <c r="AE430" s="38">
        <v>8</v>
      </c>
      <c r="AF430" s="38">
        <v>8</v>
      </c>
      <c r="AG430" s="38">
        <v>0</v>
      </c>
      <c r="AH430" s="38">
        <v>0</v>
      </c>
      <c r="AI430" s="38">
        <v>0</v>
      </c>
      <c r="AJ430" s="38">
        <v>0</v>
      </c>
    </row>
    <row r="431" spans="1:36">
      <c r="A431" t="s">
        <v>112</v>
      </c>
      <c r="B431" t="s">
        <v>309</v>
      </c>
      <c r="C431" s="2" t="s">
        <v>111</v>
      </c>
      <c r="D431" s="5" t="s">
        <v>39</v>
      </c>
      <c r="E431" s="38">
        <v>29000</v>
      </c>
      <c r="F431" s="38">
        <v>29000</v>
      </c>
      <c r="G431" s="38">
        <v>29000</v>
      </c>
      <c r="H431" s="38">
        <v>29000</v>
      </c>
      <c r="I431" s="39">
        <v>95.17</v>
      </c>
      <c r="J431" s="39">
        <v>95.17</v>
      </c>
      <c r="K431" s="39">
        <v>109.48</v>
      </c>
      <c r="L431" s="39">
        <v>109.48</v>
      </c>
      <c r="M431" s="38">
        <v>400</v>
      </c>
      <c r="N431" s="38">
        <v>400</v>
      </c>
      <c r="O431" s="38">
        <v>400</v>
      </c>
      <c r="P431" s="38">
        <v>400</v>
      </c>
      <c r="Q431" s="38">
        <v>120</v>
      </c>
      <c r="R431" s="38">
        <v>120</v>
      </c>
      <c r="S431" s="38">
        <v>120</v>
      </c>
      <c r="T431" s="38">
        <v>120</v>
      </c>
      <c r="U431" s="38">
        <v>120</v>
      </c>
      <c r="V431" s="38">
        <v>120</v>
      </c>
      <c r="W431" s="38">
        <v>120</v>
      </c>
      <c r="X431" s="38">
        <v>120</v>
      </c>
      <c r="Y431" s="38">
        <v>500</v>
      </c>
      <c r="Z431" s="38">
        <v>500</v>
      </c>
      <c r="AA431" s="38">
        <v>500</v>
      </c>
      <c r="AB431" s="38">
        <v>500</v>
      </c>
      <c r="AC431" s="38">
        <v>2</v>
      </c>
      <c r="AD431" s="38">
        <v>4</v>
      </c>
      <c r="AE431" s="38">
        <v>8</v>
      </c>
      <c r="AF431" s="38">
        <v>8</v>
      </c>
      <c r="AG431" s="38">
        <v>0</v>
      </c>
      <c r="AH431" s="38">
        <v>0</v>
      </c>
      <c r="AI431" s="38">
        <v>0</v>
      </c>
      <c r="AJ431" s="38">
        <v>0</v>
      </c>
    </row>
    <row r="432" spans="1:36">
      <c r="A432" t="s">
        <v>112</v>
      </c>
      <c r="B432" t="s">
        <v>309</v>
      </c>
      <c r="C432" s="2" t="s">
        <v>111</v>
      </c>
      <c r="D432" s="5" t="s">
        <v>39</v>
      </c>
      <c r="E432" s="38">
        <v>30000</v>
      </c>
      <c r="F432" s="38">
        <v>30000</v>
      </c>
      <c r="G432" s="38">
        <v>30000</v>
      </c>
      <c r="H432" s="38">
        <v>30000</v>
      </c>
      <c r="I432" s="39">
        <v>95</v>
      </c>
      <c r="J432" s="39">
        <v>95</v>
      </c>
      <c r="K432" s="39">
        <v>109.17</v>
      </c>
      <c r="L432" s="39">
        <v>109.17</v>
      </c>
      <c r="M432" s="38">
        <v>400</v>
      </c>
      <c r="N432" s="38">
        <v>400</v>
      </c>
      <c r="O432" s="38">
        <v>400</v>
      </c>
      <c r="P432" s="38">
        <v>400</v>
      </c>
      <c r="Q432" s="38">
        <v>120</v>
      </c>
      <c r="R432" s="38">
        <v>120</v>
      </c>
      <c r="S432" s="38">
        <v>120</v>
      </c>
      <c r="T432" s="38">
        <v>120</v>
      </c>
      <c r="U432" s="38">
        <v>120</v>
      </c>
      <c r="V432" s="38">
        <v>120</v>
      </c>
      <c r="W432" s="38">
        <v>120</v>
      </c>
      <c r="X432" s="38">
        <v>120</v>
      </c>
      <c r="Y432" s="38">
        <v>500</v>
      </c>
      <c r="Z432" s="38">
        <v>500</v>
      </c>
      <c r="AA432" s="38">
        <v>500</v>
      </c>
      <c r="AB432" s="38">
        <v>500</v>
      </c>
      <c r="AC432" s="38">
        <v>2</v>
      </c>
      <c r="AD432" s="38">
        <v>4</v>
      </c>
      <c r="AE432" s="38">
        <v>8</v>
      </c>
      <c r="AF432" s="38">
        <v>8</v>
      </c>
      <c r="AG432" s="38">
        <v>0</v>
      </c>
      <c r="AH432" s="38">
        <v>0</v>
      </c>
      <c r="AI432" s="38">
        <v>0</v>
      </c>
      <c r="AJ432" s="38">
        <v>0</v>
      </c>
    </row>
    <row r="433" spans="1:36">
      <c r="A433" t="s">
        <v>112</v>
      </c>
      <c r="B433" t="s">
        <v>309</v>
      </c>
      <c r="C433" s="2" t="s">
        <v>111</v>
      </c>
      <c r="D433" s="5" t="s">
        <v>39</v>
      </c>
      <c r="E433" s="38">
        <v>31000</v>
      </c>
      <c r="F433" s="38">
        <v>31000</v>
      </c>
      <c r="G433" s="38">
        <v>31000</v>
      </c>
      <c r="H433" s="38">
        <v>31000</v>
      </c>
      <c r="I433" s="39">
        <v>94.84</v>
      </c>
      <c r="J433" s="39">
        <v>94.84</v>
      </c>
      <c r="K433" s="39">
        <v>108.87</v>
      </c>
      <c r="L433" s="39">
        <v>108.87</v>
      </c>
      <c r="M433" s="38">
        <v>400</v>
      </c>
      <c r="N433" s="38">
        <v>400</v>
      </c>
      <c r="O433" s="38">
        <v>400</v>
      </c>
      <c r="P433" s="38">
        <v>400</v>
      </c>
      <c r="Q433" s="38">
        <v>120</v>
      </c>
      <c r="R433" s="38">
        <v>120</v>
      </c>
      <c r="S433" s="38">
        <v>120</v>
      </c>
      <c r="T433" s="38">
        <v>120</v>
      </c>
      <c r="U433" s="38">
        <v>120</v>
      </c>
      <c r="V433" s="38">
        <v>120</v>
      </c>
      <c r="W433" s="38">
        <v>120</v>
      </c>
      <c r="X433" s="38">
        <v>120</v>
      </c>
      <c r="Y433" s="38">
        <v>500</v>
      </c>
      <c r="Z433" s="38">
        <v>500</v>
      </c>
      <c r="AA433" s="38">
        <v>500</v>
      </c>
      <c r="AB433" s="38">
        <v>500</v>
      </c>
      <c r="AC433" s="38">
        <v>2</v>
      </c>
      <c r="AD433" s="38">
        <v>4</v>
      </c>
      <c r="AE433" s="38">
        <v>8</v>
      </c>
      <c r="AF433" s="38">
        <v>8</v>
      </c>
      <c r="AG433" s="38">
        <v>0</v>
      </c>
      <c r="AH433" s="38">
        <v>0</v>
      </c>
      <c r="AI433" s="38">
        <v>0</v>
      </c>
      <c r="AJ433" s="38">
        <v>0</v>
      </c>
    </row>
    <row r="434" spans="1:36">
      <c r="A434" t="s">
        <v>112</v>
      </c>
      <c r="B434" t="s">
        <v>309</v>
      </c>
      <c r="C434" s="2" t="s">
        <v>111</v>
      </c>
      <c r="D434" s="5" t="s">
        <v>39</v>
      </c>
      <c r="E434" s="38">
        <v>32000</v>
      </c>
      <c r="F434" s="38">
        <v>32000</v>
      </c>
      <c r="G434" s="38">
        <v>32000</v>
      </c>
      <c r="H434" s="38">
        <v>32000</v>
      </c>
      <c r="I434" s="39">
        <v>94.69</v>
      </c>
      <c r="J434" s="39">
        <v>94.69</v>
      </c>
      <c r="K434" s="39">
        <v>108.59</v>
      </c>
      <c r="L434" s="39">
        <v>108.59</v>
      </c>
      <c r="M434" s="38">
        <v>400</v>
      </c>
      <c r="N434" s="38">
        <v>400</v>
      </c>
      <c r="O434" s="38">
        <v>400</v>
      </c>
      <c r="P434" s="38">
        <v>400</v>
      </c>
      <c r="Q434" s="38">
        <v>120</v>
      </c>
      <c r="R434" s="38">
        <v>120</v>
      </c>
      <c r="S434" s="38">
        <v>120</v>
      </c>
      <c r="T434" s="38">
        <v>120</v>
      </c>
      <c r="U434" s="38">
        <v>120</v>
      </c>
      <c r="V434" s="38">
        <v>120</v>
      </c>
      <c r="W434" s="38">
        <v>120</v>
      </c>
      <c r="X434" s="38">
        <v>120</v>
      </c>
      <c r="Y434" s="38">
        <v>500</v>
      </c>
      <c r="Z434" s="38">
        <v>500</v>
      </c>
      <c r="AA434" s="38">
        <v>500</v>
      </c>
      <c r="AB434" s="38">
        <v>500</v>
      </c>
      <c r="AC434" s="38">
        <v>2</v>
      </c>
      <c r="AD434" s="38">
        <v>4</v>
      </c>
      <c r="AE434" s="38">
        <v>8</v>
      </c>
      <c r="AF434" s="38">
        <v>8</v>
      </c>
      <c r="AG434" s="38">
        <v>0</v>
      </c>
      <c r="AH434" s="38">
        <v>0</v>
      </c>
      <c r="AI434" s="38">
        <v>0</v>
      </c>
      <c r="AJ434" s="38">
        <v>0</v>
      </c>
    </row>
    <row r="435" spans="1:36">
      <c r="A435" t="s">
        <v>112</v>
      </c>
      <c r="B435" t="s">
        <v>309</v>
      </c>
      <c r="C435" s="2" t="s">
        <v>111</v>
      </c>
      <c r="D435" s="5" t="s">
        <v>39</v>
      </c>
      <c r="E435" s="38">
        <v>33000</v>
      </c>
      <c r="F435" s="38">
        <v>33000</v>
      </c>
      <c r="G435" s="38">
        <v>33000</v>
      </c>
      <c r="H435" s="38">
        <v>33000</v>
      </c>
      <c r="I435" s="39">
        <v>94.55</v>
      </c>
      <c r="J435" s="39">
        <v>94.55</v>
      </c>
      <c r="K435" s="39">
        <v>108.33</v>
      </c>
      <c r="L435" s="39">
        <v>108.33</v>
      </c>
      <c r="M435" s="38">
        <v>400</v>
      </c>
      <c r="N435" s="38">
        <v>400</v>
      </c>
      <c r="O435" s="38">
        <v>400</v>
      </c>
      <c r="P435" s="38">
        <v>400</v>
      </c>
      <c r="Q435" s="38">
        <v>120</v>
      </c>
      <c r="R435" s="38">
        <v>120</v>
      </c>
      <c r="S435" s="38">
        <v>120</v>
      </c>
      <c r="T435" s="38">
        <v>120</v>
      </c>
      <c r="U435" s="38">
        <v>120</v>
      </c>
      <c r="V435" s="38">
        <v>120</v>
      </c>
      <c r="W435" s="38">
        <v>120</v>
      </c>
      <c r="X435" s="38">
        <v>120</v>
      </c>
      <c r="Y435" s="38">
        <v>500</v>
      </c>
      <c r="Z435" s="38">
        <v>500</v>
      </c>
      <c r="AA435" s="38">
        <v>500</v>
      </c>
      <c r="AB435" s="38">
        <v>500</v>
      </c>
      <c r="AC435" s="38">
        <v>2</v>
      </c>
      <c r="AD435" s="38">
        <v>4</v>
      </c>
      <c r="AE435" s="38">
        <v>8</v>
      </c>
      <c r="AF435" s="38">
        <v>8</v>
      </c>
      <c r="AG435" s="38">
        <v>0</v>
      </c>
      <c r="AH435" s="38">
        <v>0</v>
      </c>
      <c r="AI435" s="38">
        <v>0</v>
      </c>
      <c r="AJ435" s="38">
        <v>0</v>
      </c>
    </row>
    <row r="436" spans="1:36">
      <c r="A436" t="s">
        <v>112</v>
      </c>
      <c r="B436" t="s">
        <v>309</v>
      </c>
      <c r="C436" s="2" t="s">
        <v>111</v>
      </c>
      <c r="D436" s="5" t="s">
        <v>39</v>
      </c>
      <c r="E436" s="38">
        <v>34000</v>
      </c>
      <c r="F436" s="38">
        <v>34000</v>
      </c>
      <c r="G436" s="38">
        <v>34000</v>
      </c>
      <c r="H436" s="38">
        <v>34000</v>
      </c>
      <c r="I436" s="39">
        <v>94.41</v>
      </c>
      <c r="J436" s="39">
        <v>94.41</v>
      </c>
      <c r="K436" s="39">
        <v>108.09</v>
      </c>
      <c r="L436" s="39">
        <v>108.09</v>
      </c>
      <c r="M436" s="38">
        <v>400</v>
      </c>
      <c r="N436" s="38">
        <v>400</v>
      </c>
      <c r="O436" s="38">
        <v>400</v>
      </c>
      <c r="P436" s="38">
        <v>400</v>
      </c>
      <c r="Q436" s="38">
        <v>120</v>
      </c>
      <c r="R436" s="38">
        <v>120</v>
      </c>
      <c r="S436" s="38">
        <v>120</v>
      </c>
      <c r="T436" s="38">
        <v>120</v>
      </c>
      <c r="U436" s="38">
        <v>120</v>
      </c>
      <c r="V436" s="38">
        <v>120</v>
      </c>
      <c r="W436" s="38">
        <v>120</v>
      </c>
      <c r="X436" s="38">
        <v>120</v>
      </c>
      <c r="Y436" s="38">
        <v>500</v>
      </c>
      <c r="Z436" s="38">
        <v>500</v>
      </c>
      <c r="AA436" s="38">
        <v>500</v>
      </c>
      <c r="AB436" s="38">
        <v>500</v>
      </c>
      <c r="AC436" s="38">
        <v>2</v>
      </c>
      <c r="AD436" s="38">
        <v>4</v>
      </c>
      <c r="AE436" s="38">
        <v>8</v>
      </c>
      <c r="AF436" s="38">
        <v>8</v>
      </c>
      <c r="AG436" s="38">
        <v>0</v>
      </c>
      <c r="AH436" s="38">
        <v>0</v>
      </c>
      <c r="AI436" s="38">
        <v>0</v>
      </c>
      <c r="AJ436" s="38">
        <v>0</v>
      </c>
    </row>
    <row r="437" spans="1:36">
      <c r="A437" t="s">
        <v>112</v>
      </c>
      <c r="B437" t="s">
        <v>309</v>
      </c>
      <c r="C437" s="2" t="s">
        <v>111</v>
      </c>
      <c r="D437" s="5" t="s">
        <v>39</v>
      </c>
      <c r="E437" s="38">
        <v>35000</v>
      </c>
      <c r="F437" s="38">
        <v>35000</v>
      </c>
      <c r="G437" s="38">
        <v>35000</v>
      </c>
      <c r="H437" s="38">
        <v>35000</v>
      </c>
      <c r="I437" s="39">
        <v>94.29</v>
      </c>
      <c r="J437" s="39">
        <v>94.29</v>
      </c>
      <c r="K437" s="39">
        <v>107.86</v>
      </c>
      <c r="L437" s="39">
        <v>107.86</v>
      </c>
      <c r="M437" s="38">
        <v>400</v>
      </c>
      <c r="N437" s="38">
        <v>400</v>
      </c>
      <c r="O437" s="38">
        <v>400</v>
      </c>
      <c r="P437" s="38">
        <v>400</v>
      </c>
      <c r="Q437" s="38">
        <v>120</v>
      </c>
      <c r="R437" s="38">
        <v>120</v>
      </c>
      <c r="S437" s="38">
        <v>120</v>
      </c>
      <c r="T437" s="38">
        <v>120</v>
      </c>
      <c r="U437" s="38">
        <v>120</v>
      </c>
      <c r="V437" s="38">
        <v>120</v>
      </c>
      <c r="W437" s="38">
        <v>120</v>
      </c>
      <c r="X437" s="38">
        <v>120</v>
      </c>
      <c r="Y437" s="38">
        <v>500</v>
      </c>
      <c r="Z437" s="38">
        <v>500</v>
      </c>
      <c r="AA437" s="38">
        <v>500</v>
      </c>
      <c r="AB437" s="38">
        <v>500</v>
      </c>
      <c r="AC437" s="38">
        <v>2</v>
      </c>
      <c r="AD437" s="38">
        <v>4</v>
      </c>
      <c r="AE437" s="38">
        <v>8</v>
      </c>
      <c r="AF437" s="38">
        <v>8</v>
      </c>
      <c r="AG437" s="38">
        <v>0</v>
      </c>
      <c r="AH437" s="38">
        <v>0</v>
      </c>
      <c r="AI437" s="38">
        <v>0</v>
      </c>
      <c r="AJ437" s="38">
        <v>0</v>
      </c>
    </row>
    <row r="438" spans="1:36">
      <c r="A438" t="s">
        <v>112</v>
      </c>
      <c r="B438" t="s">
        <v>309</v>
      </c>
      <c r="C438" s="2" t="s">
        <v>111</v>
      </c>
      <c r="D438" s="5" t="s">
        <v>39</v>
      </c>
      <c r="E438" s="38">
        <v>36000</v>
      </c>
      <c r="F438" s="38">
        <v>36000</v>
      </c>
      <c r="G438" s="38">
        <v>36000</v>
      </c>
      <c r="H438" s="38">
        <v>36000</v>
      </c>
      <c r="I438" s="39">
        <v>94.17</v>
      </c>
      <c r="J438" s="39">
        <v>94.17</v>
      </c>
      <c r="K438" s="39">
        <v>107.64</v>
      </c>
      <c r="L438" s="39">
        <v>107.64</v>
      </c>
      <c r="M438" s="38">
        <v>400</v>
      </c>
      <c r="N438" s="38">
        <v>400</v>
      </c>
      <c r="O438" s="38">
        <v>400</v>
      </c>
      <c r="P438" s="38">
        <v>400</v>
      </c>
      <c r="Q438" s="38">
        <v>120</v>
      </c>
      <c r="R438" s="38">
        <v>120</v>
      </c>
      <c r="S438" s="38">
        <v>120</v>
      </c>
      <c r="T438" s="38">
        <v>120</v>
      </c>
      <c r="U438" s="38">
        <v>120</v>
      </c>
      <c r="V438" s="38">
        <v>120</v>
      </c>
      <c r="W438" s="38">
        <v>120</v>
      </c>
      <c r="X438" s="38">
        <v>120</v>
      </c>
      <c r="Y438" s="38">
        <v>500</v>
      </c>
      <c r="Z438" s="38">
        <v>500</v>
      </c>
      <c r="AA438" s="38">
        <v>500</v>
      </c>
      <c r="AB438" s="38">
        <v>500</v>
      </c>
      <c r="AC438" s="38">
        <v>2</v>
      </c>
      <c r="AD438" s="38">
        <v>4</v>
      </c>
      <c r="AE438" s="38">
        <v>8</v>
      </c>
      <c r="AF438" s="38">
        <v>8</v>
      </c>
      <c r="AG438" s="38">
        <v>0</v>
      </c>
      <c r="AH438" s="38">
        <v>0</v>
      </c>
      <c r="AI438" s="38">
        <v>0</v>
      </c>
      <c r="AJ438" s="38">
        <v>0</v>
      </c>
    </row>
    <row r="439" spans="1:36">
      <c r="A439" t="s">
        <v>112</v>
      </c>
      <c r="B439" t="s">
        <v>309</v>
      </c>
      <c r="C439" s="2" t="s">
        <v>111</v>
      </c>
      <c r="D439" s="5" t="s">
        <v>39</v>
      </c>
      <c r="E439" s="38">
        <v>37000</v>
      </c>
      <c r="F439" s="38">
        <v>37000</v>
      </c>
      <c r="G439" s="38">
        <v>37000</v>
      </c>
      <c r="H439" s="38">
        <v>37000</v>
      </c>
      <c r="I439" s="39">
        <v>94.05</v>
      </c>
      <c r="J439" s="39">
        <v>94.05</v>
      </c>
      <c r="K439" s="39">
        <v>107.43</v>
      </c>
      <c r="L439" s="39">
        <v>107.43</v>
      </c>
      <c r="M439" s="38">
        <v>400</v>
      </c>
      <c r="N439" s="38">
        <v>400</v>
      </c>
      <c r="O439" s="38">
        <v>400</v>
      </c>
      <c r="P439" s="38">
        <v>400</v>
      </c>
      <c r="Q439" s="38">
        <v>120</v>
      </c>
      <c r="R439" s="38">
        <v>120</v>
      </c>
      <c r="S439" s="38">
        <v>120</v>
      </c>
      <c r="T439" s="38">
        <v>120</v>
      </c>
      <c r="U439" s="38">
        <v>120</v>
      </c>
      <c r="V439" s="38">
        <v>120</v>
      </c>
      <c r="W439" s="38">
        <v>120</v>
      </c>
      <c r="X439" s="38">
        <v>120</v>
      </c>
      <c r="Y439" s="38">
        <v>500</v>
      </c>
      <c r="Z439" s="38">
        <v>500</v>
      </c>
      <c r="AA439" s="38">
        <v>500</v>
      </c>
      <c r="AB439" s="38">
        <v>500</v>
      </c>
      <c r="AC439" s="38">
        <v>2</v>
      </c>
      <c r="AD439" s="38">
        <v>4</v>
      </c>
      <c r="AE439" s="38">
        <v>8</v>
      </c>
      <c r="AF439" s="38">
        <v>8</v>
      </c>
      <c r="AG439" s="38">
        <v>0</v>
      </c>
      <c r="AH439" s="38">
        <v>0</v>
      </c>
      <c r="AI439" s="38">
        <v>0</v>
      </c>
      <c r="AJ439" s="38">
        <v>0</v>
      </c>
    </row>
    <row r="440" spans="1:36">
      <c r="A440" t="s">
        <v>112</v>
      </c>
      <c r="B440" t="s">
        <v>309</v>
      </c>
      <c r="C440" s="2" t="s">
        <v>111</v>
      </c>
      <c r="D440" s="5" t="s">
        <v>39</v>
      </c>
      <c r="E440" s="38">
        <v>38000</v>
      </c>
      <c r="F440" s="38">
        <v>38000</v>
      </c>
      <c r="G440" s="38">
        <v>38000</v>
      </c>
      <c r="H440" s="38">
        <v>38000</v>
      </c>
      <c r="I440" s="39">
        <v>93.95</v>
      </c>
      <c r="J440" s="39">
        <v>93.95</v>
      </c>
      <c r="K440" s="39">
        <v>107.24</v>
      </c>
      <c r="L440" s="39">
        <v>107.24</v>
      </c>
      <c r="M440" s="38">
        <v>400</v>
      </c>
      <c r="N440" s="38">
        <v>400</v>
      </c>
      <c r="O440" s="38">
        <v>400</v>
      </c>
      <c r="P440" s="38">
        <v>400</v>
      </c>
      <c r="Q440" s="38">
        <v>120</v>
      </c>
      <c r="R440" s="38">
        <v>120</v>
      </c>
      <c r="S440" s="38">
        <v>120</v>
      </c>
      <c r="T440" s="38">
        <v>120</v>
      </c>
      <c r="U440" s="38">
        <v>120</v>
      </c>
      <c r="V440" s="38">
        <v>120</v>
      </c>
      <c r="W440" s="38">
        <v>120</v>
      </c>
      <c r="X440" s="38">
        <v>120</v>
      </c>
      <c r="Y440" s="38">
        <v>500</v>
      </c>
      <c r="Z440" s="38">
        <v>500</v>
      </c>
      <c r="AA440" s="38">
        <v>500</v>
      </c>
      <c r="AB440" s="38">
        <v>500</v>
      </c>
      <c r="AC440" s="38">
        <v>2</v>
      </c>
      <c r="AD440" s="38">
        <v>4</v>
      </c>
      <c r="AE440" s="38">
        <v>8</v>
      </c>
      <c r="AF440" s="38">
        <v>8</v>
      </c>
      <c r="AG440" s="38">
        <v>0</v>
      </c>
      <c r="AH440" s="38">
        <v>0</v>
      </c>
      <c r="AI440" s="38">
        <v>0</v>
      </c>
      <c r="AJ440" s="38">
        <v>0</v>
      </c>
    </row>
    <row r="441" spans="1:36">
      <c r="A441" t="s">
        <v>112</v>
      </c>
      <c r="B441" t="s">
        <v>309</v>
      </c>
      <c r="C441" s="2" t="s">
        <v>111</v>
      </c>
      <c r="D441" s="5" t="s">
        <v>39</v>
      </c>
      <c r="E441" s="38">
        <v>39000</v>
      </c>
      <c r="F441" s="38">
        <v>39000</v>
      </c>
      <c r="G441" s="38">
        <v>39000</v>
      </c>
      <c r="H441" s="38">
        <v>39000</v>
      </c>
      <c r="I441" s="39">
        <v>93.85</v>
      </c>
      <c r="J441" s="39">
        <v>93.85</v>
      </c>
      <c r="K441" s="39">
        <v>107.05</v>
      </c>
      <c r="L441" s="39">
        <v>107.05</v>
      </c>
      <c r="M441" s="38">
        <v>400</v>
      </c>
      <c r="N441" s="38">
        <v>400</v>
      </c>
      <c r="O441" s="38">
        <v>400</v>
      </c>
      <c r="P441" s="38">
        <v>400</v>
      </c>
      <c r="Q441" s="38">
        <v>120</v>
      </c>
      <c r="R441" s="38">
        <v>120</v>
      </c>
      <c r="S441" s="38">
        <v>120</v>
      </c>
      <c r="T441" s="38">
        <v>120</v>
      </c>
      <c r="U441" s="38">
        <v>120</v>
      </c>
      <c r="V441" s="38">
        <v>120</v>
      </c>
      <c r="W441" s="38">
        <v>120</v>
      </c>
      <c r="X441" s="38">
        <v>120</v>
      </c>
      <c r="Y441" s="38">
        <v>500</v>
      </c>
      <c r="Z441" s="38">
        <v>500</v>
      </c>
      <c r="AA441" s="38">
        <v>500</v>
      </c>
      <c r="AB441" s="38">
        <v>500</v>
      </c>
      <c r="AC441" s="38">
        <v>2</v>
      </c>
      <c r="AD441" s="38">
        <v>4</v>
      </c>
      <c r="AE441" s="38">
        <v>8</v>
      </c>
      <c r="AF441" s="38">
        <v>8</v>
      </c>
      <c r="AG441" s="38">
        <v>0</v>
      </c>
      <c r="AH441" s="38">
        <v>0</v>
      </c>
      <c r="AI441" s="38">
        <v>0</v>
      </c>
      <c r="AJ441" s="38">
        <v>0</v>
      </c>
    </row>
    <row r="442" spans="1:36">
      <c r="A442" t="s">
        <v>112</v>
      </c>
      <c r="B442" t="s">
        <v>309</v>
      </c>
      <c r="C442" s="2" t="s">
        <v>111</v>
      </c>
      <c r="D442" s="5" t="s">
        <v>39</v>
      </c>
      <c r="E442" s="38">
        <v>40000</v>
      </c>
      <c r="F442" s="38">
        <v>40000</v>
      </c>
      <c r="G442" s="38">
        <v>40000</v>
      </c>
      <c r="H442" s="38">
        <v>40000</v>
      </c>
      <c r="I442" s="39">
        <v>93.75</v>
      </c>
      <c r="J442" s="39">
        <v>93.75</v>
      </c>
      <c r="K442" s="39">
        <v>106.88</v>
      </c>
      <c r="L442" s="39">
        <v>106.88</v>
      </c>
      <c r="M442" s="38">
        <v>400</v>
      </c>
      <c r="N442" s="38">
        <v>400</v>
      </c>
      <c r="O442" s="38">
        <v>400</v>
      </c>
      <c r="P442" s="38">
        <v>400</v>
      </c>
      <c r="Q442" s="38">
        <v>120</v>
      </c>
      <c r="R442" s="38">
        <v>120</v>
      </c>
      <c r="S442" s="38">
        <v>120</v>
      </c>
      <c r="T442" s="38">
        <v>120</v>
      </c>
      <c r="U442" s="38">
        <v>120</v>
      </c>
      <c r="V442" s="38">
        <v>120</v>
      </c>
      <c r="W442" s="38">
        <v>120</v>
      </c>
      <c r="X442" s="38">
        <v>120</v>
      </c>
      <c r="Y442" s="38">
        <v>500</v>
      </c>
      <c r="Z442" s="38">
        <v>500</v>
      </c>
      <c r="AA442" s="38">
        <v>500</v>
      </c>
      <c r="AB442" s="38">
        <v>500</v>
      </c>
      <c r="AC442" s="38">
        <v>2</v>
      </c>
      <c r="AD442" s="38">
        <v>4</v>
      </c>
      <c r="AE442" s="38">
        <v>8</v>
      </c>
      <c r="AF442" s="38">
        <v>8</v>
      </c>
      <c r="AG442" s="38">
        <v>0</v>
      </c>
      <c r="AH442" s="38">
        <v>0</v>
      </c>
      <c r="AI442" s="38">
        <v>0</v>
      </c>
      <c r="AJ442" s="38">
        <v>0</v>
      </c>
    </row>
    <row r="443" spans="1:36">
      <c r="A443" t="s">
        <v>112</v>
      </c>
      <c r="B443" t="s">
        <v>309</v>
      </c>
      <c r="C443" s="2" t="s">
        <v>111</v>
      </c>
      <c r="D443" s="5" t="s">
        <v>39</v>
      </c>
      <c r="E443" s="38">
        <v>41000</v>
      </c>
      <c r="F443" s="38">
        <v>41000</v>
      </c>
      <c r="G443" s="38">
        <v>41000</v>
      </c>
      <c r="H443" s="38">
        <v>41000</v>
      </c>
      <c r="I443" s="39">
        <v>93.66</v>
      </c>
      <c r="J443" s="39">
        <v>93.66</v>
      </c>
      <c r="K443" s="39">
        <v>106.71</v>
      </c>
      <c r="L443" s="39">
        <v>106.71</v>
      </c>
      <c r="M443" s="38">
        <v>400</v>
      </c>
      <c r="N443" s="38">
        <v>400</v>
      </c>
      <c r="O443" s="38">
        <v>400</v>
      </c>
      <c r="P443" s="38">
        <v>400</v>
      </c>
      <c r="Q443" s="38">
        <v>120</v>
      </c>
      <c r="R443" s="38">
        <v>120</v>
      </c>
      <c r="S443" s="38">
        <v>120</v>
      </c>
      <c r="T443" s="38">
        <v>120</v>
      </c>
      <c r="U443" s="38">
        <v>120</v>
      </c>
      <c r="V443" s="38">
        <v>120</v>
      </c>
      <c r="W443" s="38">
        <v>120</v>
      </c>
      <c r="X443" s="38">
        <v>120</v>
      </c>
      <c r="Y443" s="38">
        <v>500</v>
      </c>
      <c r="Z443" s="38">
        <v>500</v>
      </c>
      <c r="AA443" s="38">
        <v>500</v>
      </c>
      <c r="AB443" s="38">
        <v>500</v>
      </c>
      <c r="AC443" s="38">
        <v>2</v>
      </c>
      <c r="AD443" s="38">
        <v>4</v>
      </c>
      <c r="AE443" s="38">
        <v>8</v>
      </c>
      <c r="AF443" s="38">
        <v>8</v>
      </c>
      <c r="AG443" s="38">
        <v>0</v>
      </c>
      <c r="AH443" s="38">
        <v>0</v>
      </c>
      <c r="AI443" s="38">
        <v>0</v>
      </c>
      <c r="AJ443" s="38">
        <v>0</v>
      </c>
    </row>
    <row r="444" spans="1:36">
      <c r="A444" t="s">
        <v>112</v>
      </c>
      <c r="B444" t="s">
        <v>309</v>
      </c>
      <c r="C444" s="2" t="s">
        <v>111</v>
      </c>
      <c r="D444" s="5" t="s">
        <v>39</v>
      </c>
      <c r="E444" s="38">
        <v>42000</v>
      </c>
      <c r="F444" s="38">
        <v>42000</v>
      </c>
      <c r="G444" s="38">
        <v>42000</v>
      </c>
      <c r="H444" s="38">
        <v>42000</v>
      </c>
      <c r="I444" s="39">
        <v>93.57</v>
      </c>
      <c r="J444" s="39">
        <v>93.57</v>
      </c>
      <c r="K444" s="39">
        <v>106.55</v>
      </c>
      <c r="L444" s="39">
        <v>106.55</v>
      </c>
      <c r="M444" s="38">
        <v>400</v>
      </c>
      <c r="N444" s="38">
        <v>400</v>
      </c>
      <c r="O444" s="38">
        <v>400</v>
      </c>
      <c r="P444" s="38">
        <v>400</v>
      </c>
      <c r="Q444" s="38">
        <v>120</v>
      </c>
      <c r="R444" s="38">
        <v>120</v>
      </c>
      <c r="S444" s="38">
        <v>120</v>
      </c>
      <c r="T444" s="38">
        <v>120</v>
      </c>
      <c r="U444" s="38">
        <v>120</v>
      </c>
      <c r="V444" s="38">
        <v>120</v>
      </c>
      <c r="W444" s="38">
        <v>120</v>
      </c>
      <c r="X444" s="38">
        <v>120</v>
      </c>
      <c r="Y444" s="38">
        <v>500</v>
      </c>
      <c r="Z444" s="38">
        <v>500</v>
      </c>
      <c r="AA444" s="38">
        <v>500</v>
      </c>
      <c r="AB444" s="38">
        <v>500</v>
      </c>
      <c r="AC444" s="38">
        <v>2</v>
      </c>
      <c r="AD444" s="38">
        <v>4</v>
      </c>
      <c r="AE444" s="38">
        <v>8</v>
      </c>
      <c r="AF444" s="38">
        <v>8</v>
      </c>
      <c r="AG444" s="38">
        <v>0</v>
      </c>
      <c r="AH444" s="38">
        <v>0</v>
      </c>
      <c r="AI444" s="38">
        <v>0</v>
      </c>
      <c r="AJ444" s="38">
        <v>0</v>
      </c>
    </row>
    <row r="445" spans="1:36">
      <c r="A445" t="s">
        <v>112</v>
      </c>
      <c r="B445" t="s">
        <v>309</v>
      </c>
      <c r="C445" s="2" t="s">
        <v>111</v>
      </c>
      <c r="D445" s="5" t="s">
        <v>39</v>
      </c>
      <c r="E445" s="38">
        <v>43000</v>
      </c>
      <c r="F445" s="38">
        <v>43000</v>
      </c>
      <c r="G445" s="38">
        <v>43000</v>
      </c>
      <c r="H445" s="38">
        <v>43000</v>
      </c>
      <c r="I445" s="39">
        <v>93.49</v>
      </c>
      <c r="J445" s="39">
        <v>93.49</v>
      </c>
      <c r="K445" s="39">
        <v>106.4</v>
      </c>
      <c r="L445" s="39">
        <v>106.4</v>
      </c>
      <c r="M445" s="38">
        <v>400</v>
      </c>
      <c r="N445" s="38">
        <v>400</v>
      </c>
      <c r="O445" s="38">
        <v>400</v>
      </c>
      <c r="P445" s="38">
        <v>400</v>
      </c>
      <c r="Q445" s="38">
        <v>120</v>
      </c>
      <c r="R445" s="38">
        <v>120</v>
      </c>
      <c r="S445" s="38">
        <v>120</v>
      </c>
      <c r="T445" s="38">
        <v>120</v>
      </c>
      <c r="U445" s="38">
        <v>120</v>
      </c>
      <c r="V445" s="38">
        <v>120</v>
      </c>
      <c r="W445" s="38">
        <v>120</v>
      </c>
      <c r="X445" s="38">
        <v>120</v>
      </c>
      <c r="Y445" s="38">
        <v>500</v>
      </c>
      <c r="Z445" s="38">
        <v>500</v>
      </c>
      <c r="AA445" s="38">
        <v>500</v>
      </c>
      <c r="AB445" s="38">
        <v>500</v>
      </c>
      <c r="AC445" s="38">
        <v>2</v>
      </c>
      <c r="AD445" s="38">
        <v>4</v>
      </c>
      <c r="AE445" s="38">
        <v>8</v>
      </c>
      <c r="AF445" s="38">
        <v>8</v>
      </c>
      <c r="AG445" s="38">
        <v>0</v>
      </c>
      <c r="AH445" s="38">
        <v>0</v>
      </c>
      <c r="AI445" s="38">
        <v>0</v>
      </c>
      <c r="AJ445" s="38">
        <v>0</v>
      </c>
    </row>
    <row r="446" spans="1:36">
      <c r="A446" t="s">
        <v>112</v>
      </c>
      <c r="B446" t="s">
        <v>309</v>
      </c>
      <c r="C446" s="2" t="s">
        <v>111</v>
      </c>
      <c r="D446" s="5" t="s">
        <v>39</v>
      </c>
      <c r="E446" s="40">
        <v>44000</v>
      </c>
      <c r="F446" s="40">
        <v>44000</v>
      </c>
      <c r="G446" s="40">
        <v>44000</v>
      </c>
      <c r="H446" s="40">
        <v>44000</v>
      </c>
      <c r="I446" s="41">
        <v>93.41</v>
      </c>
      <c r="J446" s="41">
        <v>93.41</v>
      </c>
      <c r="K446" s="41">
        <v>106.25</v>
      </c>
      <c r="L446" s="41">
        <v>106.25</v>
      </c>
      <c r="M446" s="38">
        <v>400</v>
      </c>
      <c r="N446" s="38">
        <v>400</v>
      </c>
      <c r="O446" s="38">
        <v>400</v>
      </c>
      <c r="P446" s="38">
        <v>400</v>
      </c>
      <c r="Q446" s="38">
        <v>120</v>
      </c>
      <c r="R446" s="38">
        <v>120</v>
      </c>
      <c r="S446" s="38">
        <v>120</v>
      </c>
      <c r="T446" s="38">
        <v>120</v>
      </c>
      <c r="U446" s="38">
        <v>120</v>
      </c>
      <c r="V446" s="38">
        <v>120</v>
      </c>
      <c r="W446" s="38">
        <v>120</v>
      </c>
      <c r="X446" s="38">
        <v>120</v>
      </c>
      <c r="Y446" s="38">
        <v>500</v>
      </c>
      <c r="Z446" s="38">
        <v>500</v>
      </c>
      <c r="AA446" s="38">
        <v>500</v>
      </c>
      <c r="AB446" s="38">
        <v>500</v>
      </c>
      <c r="AC446" s="38">
        <v>2</v>
      </c>
      <c r="AD446" s="38">
        <v>4</v>
      </c>
      <c r="AE446" s="38">
        <v>8</v>
      </c>
      <c r="AF446" s="38">
        <v>8</v>
      </c>
      <c r="AG446" s="38">
        <v>0</v>
      </c>
      <c r="AH446" s="38">
        <v>0</v>
      </c>
      <c r="AI446" s="38">
        <v>0</v>
      </c>
      <c r="AJ446" s="38">
        <v>0</v>
      </c>
    </row>
    <row r="447" spans="1:36">
      <c r="A447" t="s">
        <v>112</v>
      </c>
      <c r="B447" t="s">
        <v>309</v>
      </c>
      <c r="C447" s="2" t="s">
        <v>111</v>
      </c>
      <c r="D447" s="5" t="s">
        <v>39</v>
      </c>
      <c r="E447" s="40">
        <v>45000</v>
      </c>
      <c r="F447" s="40">
        <v>45000</v>
      </c>
      <c r="G447" s="40">
        <v>45000</v>
      </c>
      <c r="H447" s="40">
        <v>45000</v>
      </c>
      <c r="I447" s="41">
        <v>93.33</v>
      </c>
      <c r="J447" s="41">
        <v>93.33</v>
      </c>
      <c r="K447" s="41">
        <v>106.11</v>
      </c>
      <c r="L447" s="41">
        <v>106.11</v>
      </c>
      <c r="M447" s="38">
        <v>400</v>
      </c>
      <c r="N447" s="38">
        <v>400</v>
      </c>
      <c r="O447" s="38">
        <v>400</v>
      </c>
      <c r="P447" s="38">
        <v>400</v>
      </c>
      <c r="Q447" s="38">
        <v>120</v>
      </c>
      <c r="R447" s="38">
        <v>120</v>
      </c>
      <c r="S447" s="38">
        <v>120</v>
      </c>
      <c r="T447" s="38">
        <v>120</v>
      </c>
      <c r="U447" s="38">
        <v>120</v>
      </c>
      <c r="V447" s="38">
        <v>120</v>
      </c>
      <c r="W447" s="38">
        <v>120</v>
      </c>
      <c r="X447" s="38">
        <v>120</v>
      </c>
      <c r="Y447" s="38">
        <v>500</v>
      </c>
      <c r="Z447" s="38">
        <v>500</v>
      </c>
      <c r="AA447" s="38">
        <v>500</v>
      </c>
      <c r="AB447" s="38">
        <v>500</v>
      </c>
      <c r="AC447" s="38">
        <v>2</v>
      </c>
      <c r="AD447" s="38">
        <v>4</v>
      </c>
      <c r="AE447" s="38">
        <v>8</v>
      </c>
      <c r="AF447" s="38">
        <v>8</v>
      </c>
      <c r="AG447" s="38">
        <v>0</v>
      </c>
      <c r="AH447" s="38">
        <v>0</v>
      </c>
      <c r="AI447" s="38">
        <v>0</v>
      </c>
      <c r="AJ447" s="38">
        <v>0</v>
      </c>
    </row>
    <row r="448" spans="1:36">
      <c r="A448" t="s">
        <v>112</v>
      </c>
      <c r="B448" t="s">
        <v>309</v>
      </c>
      <c r="C448" s="2" t="s">
        <v>111</v>
      </c>
      <c r="D448" s="5" t="s">
        <v>39</v>
      </c>
      <c r="E448" s="40">
        <v>46000</v>
      </c>
      <c r="F448" s="40">
        <v>46000</v>
      </c>
      <c r="G448" s="40">
        <v>46000</v>
      </c>
      <c r="H448" s="40">
        <v>46000</v>
      </c>
      <c r="I448" s="41">
        <v>93.26</v>
      </c>
      <c r="J448" s="41">
        <v>93.26</v>
      </c>
      <c r="K448" s="41">
        <v>105.98</v>
      </c>
      <c r="L448" s="41">
        <v>105.98</v>
      </c>
      <c r="M448" s="38">
        <v>400</v>
      </c>
      <c r="N448" s="38">
        <v>400</v>
      </c>
      <c r="O448" s="38">
        <v>400</v>
      </c>
      <c r="P448" s="38">
        <v>400</v>
      </c>
      <c r="Q448" s="38">
        <v>120</v>
      </c>
      <c r="R448" s="38">
        <v>120</v>
      </c>
      <c r="S448" s="38">
        <v>120</v>
      </c>
      <c r="T448" s="38">
        <v>120</v>
      </c>
      <c r="U448" s="38">
        <v>120</v>
      </c>
      <c r="V448" s="38">
        <v>120</v>
      </c>
      <c r="W448" s="38">
        <v>120</v>
      </c>
      <c r="X448" s="38">
        <v>120</v>
      </c>
      <c r="Y448" s="38">
        <v>500</v>
      </c>
      <c r="Z448" s="38">
        <v>500</v>
      </c>
      <c r="AA448" s="38">
        <v>500</v>
      </c>
      <c r="AB448" s="38">
        <v>500</v>
      </c>
      <c r="AC448" s="38">
        <v>2</v>
      </c>
      <c r="AD448" s="38">
        <v>4</v>
      </c>
      <c r="AE448" s="38">
        <v>8</v>
      </c>
      <c r="AF448" s="38">
        <v>8</v>
      </c>
      <c r="AG448" s="38">
        <v>0</v>
      </c>
      <c r="AH448" s="38">
        <v>0</v>
      </c>
      <c r="AI448" s="38">
        <v>0</v>
      </c>
      <c r="AJ448" s="38">
        <v>0</v>
      </c>
    </row>
    <row r="449" spans="1:36">
      <c r="A449" t="s">
        <v>112</v>
      </c>
      <c r="B449" t="s">
        <v>309</v>
      </c>
      <c r="C449" s="2" t="s">
        <v>111</v>
      </c>
      <c r="D449" s="5" t="s">
        <v>39</v>
      </c>
      <c r="E449" s="40">
        <v>47000</v>
      </c>
      <c r="F449" s="40">
        <v>47000</v>
      </c>
      <c r="G449" s="40">
        <v>47000</v>
      </c>
      <c r="H449" s="40">
        <v>47000</v>
      </c>
      <c r="I449" s="41">
        <v>93.19</v>
      </c>
      <c r="J449" s="41">
        <v>93.19</v>
      </c>
      <c r="K449" s="41">
        <v>105.85</v>
      </c>
      <c r="L449" s="41">
        <v>105.85</v>
      </c>
      <c r="M449" s="38">
        <v>400</v>
      </c>
      <c r="N449" s="38">
        <v>400</v>
      </c>
      <c r="O449" s="38">
        <v>400</v>
      </c>
      <c r="P449" s="38">
        <v>400</v>
      </c>
      <c r="Q449" s="38">
        <v>120</v>
      </c>
      <c r="R449" s="38">
        <v>120</v>
      </c>
      <c r="S449" s="38">
        <v>120</v>
      </c>
      <c r="T449" s="38">
        <v>120</v>
      </c>
      <c r="U449" s="38">
        <v>120</v>
      </c>
      <c r="V449" s="38">
        <v>120</v>
      </c>
      <c r="W449" s="38">
        <v>120</v>
      </c>
      <c r="X449" s="38">
        <v>120</v>
      </c>
      <c r="Y449" s="38">
        <v>500</v>
      </c>
      <c r="Z449" s="38">
        <v>500</v>
      </c>
      <c r="AA449" s="38">
        <v>500</v>
      </c>
      <c r="AB449" s="38">
        <v>500</v>
      </c>
      <c r="AC449" s="38">
        <v>2</v>
      </c>
      <c r="AD449" s="38">
        <v>4</v>
      </c>
      <c r="AE449" s="38">
        <v>8</v>
      </c>
      <c r="AF449" s="38">
        <v>8</v>
      </c>
      <c r="AG449" s="38">
        <v>0</v>
      </c>
      <c r="AH449" s="38">
        <v>0</v>
      </c>
      <c r="AI449" s="38">
        <v>0</v>
      </c>
      <c r="AJ449" s="38">
        <v>0</v>
      </c>
    </row>
    <row r="450" spans="1:36">
      <c r="A450" t="s">
        <v>112</v>
      </c>
      <c r="B450" t="s">
        <v>309</v>
      </c>
      <c r="C450" s="2" t="s">
        <v>111</v>
      </c>
      <c r="D450" s="5" t="s">
        <v>39</v>
      </c>
      <c r="E450" s="40">
        <v>48000</v>
      </c>
      <c r="F450" s="40">
        <v>48000</v>
      </c>
      <c r="G450" s="40">
        <v>48000</v>
      </c>
      <c r="H450" s="40">
        <v>48000</v>
      </c>
      <c r="I450" s="41">
        <v>93.13</v>
      </c>
      <c r="J450" s="41">
        <v>93.13</v>
      </c>
      <c r="K450" s="41">
        <v>105.73</v>
      </c>
      <c r="L450" s="41">
        <v>105.73</v>
      </c>
      <c r="M450" s="38">
        <v>400</v>
      </c>
      <c r="N450" s="38">
        <v>400</v>
      </c>
      <c r="O450" s="38">
        <v>400</v>
      </c>
      <c r="P450" s="38">
        <v>400</v>
      </c>
      <c r="Q450" s="38">
        <v>120</v>
      </c>
      <c r="R450" s="38">
        <v>120</v>
      </c>
      <c r="S450" s="38">
        <v>120</v>
      </c>
      <c r="T450" s="38">
        <v>120</v>
      </c>
      <c r="U450" s="38">
        <v>120</v>
      </c>
      <c r="V450" s="38">
        <v>120</v>
      </c>
      <c r="W450" s="38">
        <v>120</v>
      </c>
      <c r="X450" s="38">
        <v>120</v>
      </c>
      <c r="Y450" s="38">
        <v>500</v>
      </c>
      <c r="Z450" s="38">
        <v>500</v>
      </c>
      <c r="AA450" s="38">
        <v>500</v>
      </c>
      <c r="AB450" s="38">
        <v>500</v>
      </c>
      <c r="AC450" s="38">
        <v>2</v>
      </c>
      <c r="AD450" s="38">
        <v>4</v>
      </c>
      <c r="AE450" s="38">
        <v>8</v>
      </c>
      <c r="AF450" s="38">
        <v>8</v>
      </c>
      <c r="AG450" s="38">
        <v>0</v>
      </c>
      <c r="AH450" s="38">
        <v>0</v>
      </c>
      <c r="AI450" s="38">
        <v>0</v>
      </c>
      <c r="AJ450" s="38">
        <v>0</v>
      </c>
    </row>
    <row r="451" spans="1:36">
      <c r="A451" t="s">
        <v>112</v>
      </c>
      <c r="B451" t="s">
        <v>309</v>
      </c>
      <c r="C451" s="2" t="s">
        <v>111</v>
      </c>
      <c r="D451" s="5" t="s">
        <v>39</v>
      </c>
      <c r="E451" s="40">
        <v>49000</v>
      </c>
      <c r="F451" s="40">
        <v>49000</v>
      </c>
      <c r="G451" s="40">
        <v>49000</v>
      </c>
      <c r="H451" s="40">
        <v>49000</v>
      </c>
      <c r="I451" s="41">
        <v>93.06</v>
      </c>
      <c r="J451" s="41">
        <v>93.06</v>
      </c>
      <c r="K451" s="41">
        <v>105.61</v>
      </c>
      <c r="L451" s="41">
        <v>105.61</v>
      </c>
      <c r="M451" s="38">
        <v>400</v>
      </c>
      <c r="N451" s="38">
        <v>400</v>
      </c>
      <c r="O451" s="38">
        <v>400</v>
      </c>
      <c r="P451" s="38">
        <v>400</v>
      </c>
      <c r="Q451" s="38">
        <v>120</v>
      </c>
      <c r="R451" s="38">
        <v>120</v>
      </c>
      <c r="S451" s="38">
        <v>120</v>
      </c>
      <c r="T451" s="38">
        <v>120</v>
      </c>
      <c r="U451" s="38">
        <v>120</v>
      </c>
      <c r="V451" s="38">
        <v>120</v>
      </c>
      <c r="W451" s="38">
        <v>120</v>
      </c>
      <c r="X451" s="38">
        <v>120</v>
      </c>
      <c r="Y451" s="38">
        <v>500</v>
      </c>
      <c r="Z451" s="38">
        <v>500</v>
      </c>
      <c r="AA451" s="38">
        <v>500</v>
      </c>
      <c r="AB451" s="38">
        <v>500</v>
      </c>
      <c r="AC451" s="38">
        <v>2</v>
      </c>
      <c r="AD451" s="38">
        <v>4</v>
      </c>
      <c r="AE451" s="38">
        <v>8</v>
      </c>
      <c r="AF451" s="38">
        <v>8</v>
      </c>
      <c r="AG451" s="38">
        <v>0</v>
      </c>
      <c r="AH451" s="38">
        <v>0</v>
      </c>
      <c r="AI451" s="38">
        <v>0</v>
      </c>
      <c r="AJ451" s="38">
        <v>0</v>
      </c>
    </row>
    <row r="452" spans="1:36">
      <c r="A452" t="s">
        <v>112</v>
      </c>
      <c r="B452" t="s">
        <v>309</v>
      </c>
      <c r="C452" s="2" t="s">
        <v>111</v>
      </c>
      <c r="D452" s="5" t="s">
        <v>39</v>
      </c>
      <c r="E452" s="40">
        <v>50000</v>
      </c>
      <c r="F452" s="40">
        <v>50000</v>
      </c>
      <c r="G452" s="40">
        <v>50000</v>
      </c>
      <c r="H452" s="40">
        <v>50000</v>
      </c>
      <c r="I452" s="41">
        <v>93</v>
      </c>
      <c r="J452" s="41">
        <v>93</v>
      </c>
      <c r="K452" s="41">
        <v>105.5</v>
      </c>
      <c r="L452" s="41">
        <v>105.5</v>
      </c>
      <c r="M452" s="38">
        <v>400</v>
      </c>
      <c r="N452" s="38">
        <v>400</v>
      </c>
      <c r="O452" s="38">
        <v>400</v>
      </c>
      <c r="P452" s="38">
        <v>400</v>
      </c>
      <c r="Q452" s="38">
        <v>120</v>
      </c>
      <c r="R452" s="38">
        <v>120</v>
      </c>
      <c r="S452" s="38">
        <v>120</v>
      </c>
      <c r="T452" s="38">
        <v>120</v>
      </c>
      <c r="U452" s="38">
        <v>120</v>
      </c>
      <c r="V452" s="38">
        <v>120</v>
      </c>
      <c r="W452" s="38">
        <v>120</v>
      </c>
      <c r="X452" s="38">
        <v>120</v>
      </c>
      <c r="Y452" s="38">
        <v>500</v>
      </c>
      <c r="Z452" s="38">
        <v>500</v>
      </c>
      <c r="AA452" s="38">
        <v>500</v>
      </c>
      <c r="AB452" s="38">
        <v>500</v>
      </c>
      <c r="AC452" s="38">
        <v>2</v>
      </c>
      <c r="AD452" s="38">
        <v>4</v>
      </c>
      <c r="AE452" s="38">
        <v>8</v>
      </c>
      <c r="AF452" s="38">
        <v>8</v>
      </c>
      <c r="AG452" s="38">
        <v>0</v>
      </c>
      <c r="AH452" s="38">
        <v>0</v>
      </c>
      <c r="AI452" s="38">
        <v>0</v>
      </c>
      <c r="AJ452" s="38">
        <v>0</v>
      </c>
    </row>
    <row r="453" spans="1:36">
      <c r="A453" t="s">
        <v>112</v>
      </c>
      <c r="B453" t="s">
        <v>309</v>
      </c>
      <c r="C453" s="2" t="s">
        <v>111</v>
      </c>
      <c r="D453" s="5" t="s">
        <v>39</v>
      </c>
      <c r="E453" s="40">
        <v>51000</v>
      </c>
      <c r="F453" s="40">
        <v>51000</v>
      </c>
      <c r="G453" s="40">
        <v>51000</v>
      </c>
      <c r="H453" s="40">
        <v>51000</v>
      </c>
      <c r="I453" s="41">
        <v>92.94</v>
      </c>
      <c r="J453" s="41">
        <v>92.94</v>
      </c>
      <c r="K453" s="41">
        <v>105.39</v>
      </c>
      <c r="L453" s="41">
        <v>105.39</v>
      </c>
      <c r="M453" s="38">
        <v>400</v>
      </c>
      <c r="N453" s="38">
        <v>400</v>
      </c>
      <c r="O453" s="38">
        <v>400</v>
      </c>
      <c r="P453" s="38">
        <v>400</v>
      </c>
      <c r="Q453" s="38">
        <v>120</v>
      </c>
      <c r="R453" s="38">
        <v>120</v>
      </c>
      <c r="S453" s="38">
        <v>120</v>
      </c>
      <c r="T453" s="38">
        <v>120</v>
      </c>
      <c r="U453" s="38">
        <v>120</v>
      </c>
      <c r="V453" s="38">
        <v>120</v>
      </c>
      <c r="W453" s="38">
        <v>120</v>
      </c>
      <c r="X453" s="38">
        <v>120</v>
      </c>
      <c r="Y453" s="38">
        <v>500</v>
      </c>
      <c r="Z453" s="38">
        <v>500</v>
      </c>
      <c r="AA453" s="38">
        <v>500</v>
      </c>
      <c r="AB453" s="38">
        <v>500</v>
      </c>
      <c r="AC453" s="38">
        <v>2</v>
      </c>
      <c r="AD453" s="38">
        <v>4</v>
      </c>
      <c r="AE453" s="38">
        <v>8</v>
      </c>
      <c r="AF453" s="38">
        <v>8</v>
      </c>
      <c r="AG453" s="38">
        <v>0</v>
      </c>
      <c r="AH453" s="38">
        <v>0</v>
      </c>
      <c r="AI453" s="38">
        <v>0</v>
      </c>
      <c r="AJ453" s="38">
        <v>0</v>
      </c>
    </row>
    <row r="454" spans="1:36">
      <c r="A454" t="s">
        <v>112</v>
      </c>
      <c r="B454" t="s">
        <v>309</v>
      </c>
      <c r="C454" s="2" t="s">
        <v>111</v>
      </c>
      <c r="D454" s="5" t="s">
        <v>39</v>
      </c>
      <c r="E454" s="40">
        <v>52000</v>
      </c>
      <c r="F454" s="40">
        <v>52000</v>
      </c>
      <c r="G454" s="40">
        <v>52000</v>
      </c>
      <c r="H454" s="40">
        <v>52000</v>
      </c>
      <c r="I454" s="41">
        <v>92.88</v>
      </c>
      <c r="J454" s="41">
        <v>92.88</v>
      </c>
      <c r="K454" s="41">
        <v>105.29</v>
      </c>
      <c r="L454" s="41">
        <v>105.29</v>
      </c>
      <c r="M454" s="38">
        <v>400</v>
      </c>
      <c r="N454" s="38">
        <v>400</v>
      </c>
      <c r="O454" s="38">
        <v>400</v>
      </c>
      <c r="P454" s="38">
        <v>400</v>
      </c>
      <c r="Q454" s="38">
        <v>120</v>
      </c>
      <c r="R454" s="38">
        <v>120</v>
      </c>
      <c r="S454" s="38">
        <v>120</v>
      </c>
      <c r="T454" s="38">
        <v>120</v>
      </c>
      <c r="U454" s="38">
        <v>120</v>
      </c>
      <c r="V454" s="38">
        <v>120</v>
      </c>
      <c r="W454" s="38">
        <v>120</v>
      </c>
      <c r="X454" s="38">
        <v>120</v>
      </c>
      <c r="Y454" s="38">
        <v>500</v>
      </c>
      <c r="Z454" s="38">
        <v>500</v>
      </c>
      <c r="AA454" s="38">
        <v>500</v>
      </c>
      <c r="AB454" s="38">
        <v>500</v>
      </c>
      <c r="AC454" s="38">
        <v>2</v>
      </c>
      <c r="AD454" s="38">
        <v>4</v>
      </c>
      <c r="AE454" s="38">
        <v>8</v>
      </c>
      <c r="AF454" s="38">
        <v>8</v>
      </c>
      <c r="AG454" s="38">
        <v>0</v>
      </c>
      <c r="AH454" s="38">
        <v>0</v>
      </c>
      <c r="AI454" s="38">
        <v>0</v>
      </c>
      <c r="AJ454" s="38">
        <v>0</v>
      </c>
    </row>
    <row r="455" spans="1:36">
      <c r="A455" t="s">
        <v>112</v>
      </c>
      <c r="B455" t="s">
        <v>309</v>
      </c>
      <c r="C455" s="2" t="s">
        <v>111</v>
      </c>
      <c r="D455" s="5" t="s">
        <v>39</v>
      </c>
      <c r="E455" s="40">
        <v>53000</v>
      </c>
      <c r="F455" s="40">
        <v>53000</v>
      </c>
      <c r="G455" s="40">
        <v>53000</v>
      </c>
      <c r="H455" s="40">
        <v>53000</v>
      </c>
      <c r="I455" s="41">
        <v>92.83</v>
      </c>
      <c r="J455" s="41">
        <v>92.83</v>
      </c>
      <c r="K455" s="41">
        <v>105.19</v>
      </c>
      <c r="L455" s="41">
        <v>105.19</v>
      </c>
      <c r="M455" s="38">
        <v>400</v>
      </c>
      <c r="N455" s="38">
        <v>400</v>
      </c>
      <c r="O455" s="38">
        <v>400</v>
      </c>
      <c r="P455" s="38">
        <v>400</v>
      </c>
      <c r="Q455" s="38">
        <v>120</v>
      </c>
      <c r="R455" s="38">
        <v>120</v>
      </c>
      <c r="S455" s="38">
        <v>120</v>
      </c>
      <c r="T455" s="38">
        <v>120</v>
      </c>
      <c r="U455" s="38">
        <v>120</v>
      </c>
      <c r="V455" s="38">
        <v>120</v>
      </c>
      <c r="W455" s="38">
        <v>120</v>
      </c>
      <c r="X455" s="38">
        <v>120</v>
      </c>
      <c r="Y455" s="38">
        <v>500</v>
      </c>
      <c r="Z455" s="38">
        <v>500</v>
      </c>
      <c r="AA455" s="38">
        <v>500</v>
      </c>
      <c r="AB455" s="38">
        <v>500</v>
      </c>
      <c r="AC455" s="38">
        <v>2</v>
      </c>
      <c r="AD455" s="38">
        <v>4</v>
      </c>
      <c r="AE455" s="38">
        <v>8</v>
      </c>
      <c r="AF455" s="38">
        <v>8</v>
      </c>
      <c r="AG455" s="38">
        <v>0</v>
      </c>
      <c r="AH455" s="38">
        <v>0</v>
      </c>
      <c r="AI455" s="38">
        <v>0</v>
      </c>
      <c r="AJ455" s="38">
        <v>0</v>
      </c>
    </row>
    <row r="456" spans="1:36">
      <c r="A456" t="s">
        <v>112</v>
      </c>
      <c r="B456" t="s">
        <v>309</v>
      </c>
      <c r="C456" s="2" t="s">
        <v>111</v>
      </c>
      <c r="D456" s="5" t="s">
        <v>39</v>
      </c>
      <c r="E456" s="40">
        <v>54000</v>
      </c>
      <c r="F456" s="40">
        <v>54000</v>
      </c>
      <c r="G456" s="40">
        <v>54000</v>
      </c>
      <c r="H456" s="40">
        <v>54000</v>
      </c>
      <c r="I456" s="41">
        <v>92.78</v>
      </c>
      <c r="J456" s="41">
        <v>92.78</v>
      </c>
      <c r="K456" s="41">
        <v>105.09</v>
      </c>
      <c r="L456" s="41">
        <v>105.09</v>
      </c>
      <c r="M456" s="38">
        <v>400</v>
      </c>
      <c r="N456" s="38">
        <v>400</v>
      </c>
      <c r="O456" s="38">
        <v>400</v>
      </c>
      <c r="P456" s="38">
        <v>400</v>
      </c>
      <c r="Q456" s="38">
        <v>120</v>
      </c>
      <c r="R456" s="38">
        <v>120</v>
      </c>
      <c r="S456" s="38">
        <v>120</v>
      </c>
      <c r="T456" s="38">
        <v>120</v>
      </c>
      <c r="U456" s="38">
        <v>120</v>
      </c>
      <c r="V456" s="38">
        <v>120</v>
      </c>
      <c r="W456" s="38">
        <v>120</v>
      </c>
      <c r="X456" s="38">
        <v>120</v>
      </c>
      <c r="Y456" s="38">
        <v>500</v>
      </c>
      <c r="Z456" s="38">
        <v>500</v>
      </c>
      <c r="AA456" s="38">
        <v>500</v>
      </c>
      <c r="AB456" s="38">
        <v>500</v>
      </c>
      <c r="AC456" s="38">
        <v>2</v>
      </c>
      <c r="AD456" s="38">
        <v>4</v>
      </c>
      <c r="AE456" s="38">
        <v>8</v>
      </c>
      <c r="AF456" s="38">
        <v>8</v>
      </c>
      <c r="AG456" s="38">
        <v>0</v>
      </c>
      <c r="AH456" s="38">
        <v>0</v>
      </c>
      <c r="AI456" s="38">
        <v>0</v>
      </c>
      <c r="AJ456" s="38">
        <v>0</v>
      </c>
    </row>
    <row r="457" spans="1:36">
      <c r="A457" t="s">
        <v>112</v>
      </c>
      <c r="B457" t="s">
        <v>309</v>
      </c>
      <c r="C457" s="2" t="s">
        <v>111</v>
      </c>
      <c r="D457" s="5" t="s">
        <v>39</v>
      </c>
      <c r="E457" s="40">
        <v>55000</v>
      </c>
      <c r="F457" s="40">
        <v>55000</v>
      </c>
      <c r="G457" s="40">
        <v>55000</v>
      </c>
      <c r="H457" s="40">
        <v>55000</v>
      </c>
      <c r="I457" s="41">
        <v>92.73</v>
      </c>
      <c r="J457" s="41">
        <v>92.73</v>
      </c>
      <c r="K457" s="41">
        <v>105</v>
      </c>
      <c r="L457" s="41">
        <v>105</v>
      </c>
      <c r="M457" s="38">
        <v>400</v>
      </c>
      <c r="N457" s="38">
        <v>400</v>
      </c>
      <c r="O457" s="38">
        <v>400</v>
      </c>
      <c r="P457" s="38">
        <v>400</v>
      </c>
      <c r="Q457" s="38">
        <v>120</v>
      </c>
      <c r="R457" s="38">
        <v>120</v>
      </c>
      <c r="S457" s="38">
        <v>120</v>
      </c>
      <c r="T457" s="38">
        <v>120</v>
      </c>
      <c r="U457" s="38">
        <v>120</v>
      </c>
      <c r="V457" s="38">
        <v>120</v>
      </c>
      <c r="W457" s="38">
        <v>120</v>
      </c>
      <c r="X457" s="38">
        <v>120</v>
      </c>
      <c r="Y457" s="38">
        <v>500</v>
      </c>
      <c r="Z457" s="38">
        <v>500</v>
      </c>
      <c r="AA457" s="38">
        <v>500</v>
      </c>
      <c r="AB457" s="38">
        <v>500</v>
      </c>
      <c r="AC457" s="38">
        <v>2</v>
      </c>
      <c r="AD457" s="38">
        <v>4</v>
      </c>
      <c r="AE457" s="38">
        <v>8</v>
      </c>
      <c r="AF457" s="38">
        <v>8</v>
      </c>
      <c r="AG457" s="38">
        <v>0</v>
      </c>
      <c r="AH457" s="38">
        <v>0</v>
      </c>
      <c r="AI457" s="38">
        <v>0</v>
      </c>
      <c r="AJ457" s="38">
        <v>0</v>
      </c>
    </row>
    <row r="458" spans="1:36">
      <c r="A458" t="s">
        <v>112</v>
      </c>
      <c r="B458" t="s">
        <v>309</v>
      </c>
      <c r="C458" s="2" t="s">
        <v>111</v>
      </c>
      <c r="D458" s="5" t="s">
        <v>39</v>
      </c>
      <c r="E458" s="40">
        <v>56000</v>
      </c>
      <c r="F458" s="40">
        <v>56000</v>
      </c>
      <c r="G458" s="40">
        <v>56000</v>
      </c>
      <c r="H458" s="40">
        <v>56000</v>
      </c>
      <c r="I458" s="41">
        <v>92.68</v>
      </c>
      <c r="J458" s="41">
        <v>92.68</v>
      </c>
      <c r="K458" s="41">
        <v>104.91</v>
      </c>
      <c r="L458" s="41">
        <v>104.91</v>
      </c>
      <c r="M458" s="38">
        <v>400</v>
      </c>
      <c r="N458" s="38">
        <v>400</v>
      </c>
      <c r="O458" s="38">
        <v>400</v>
      </c>
      <c r="P458" s="38">
        <v>400</v>
      </c>
      <c r="Q458" s="38">
        <v>120</v>
      </c>
      <c r="R458" s="38">
        <v>120</v>
      </c>
      <c r="S458" s="38">
        <v>120</v>
      </c>
      <c r="T458" s="38">
        <v>120</v>
      </c>
      <c r="U458" s="38">
        <v>120</v>
      </c>
      <c r="V458" s="38">
        <v>120</v>
      </c>
      <c r="W458" s="38">
        <v>120</v>
      </c>
      <c r="X458" s="38">
        <v>120</v>
      </c>
      <c r="Y458" s="38">
        <v>500</v>
      </c>
      <c r="Z458" s="38">
        <v>500</v>
      </c>
      <c r="AA458" s="38">
        <v>500</v>
      </c>
      <c r="AB458" s="38">
        <v>500</v>
      </c>
      <c r="AC458" s="38">
        <v>2</v>
      </c>
      <c r="AD458" s="38">
        <v>4</v>
      </c>
      <c r="AE458" s="38">
        <v>8</v>
      </c>
      <c r="AF458" s="38">
        <v>8</v>
      </c>
      <c r="AG458" s="38">
        <v>0</v>
      </c>
      <c r="AH458" s="38">
        <v>0</v>
      </c>
      <c r="AI458" s="38">
        <v>0</v>
      </c>
      <c r="AJ458" s="38">
        <v>0</v>
      </c>
    </row>
    <row r="459" spans="1:36">
      <c r="A459" t="s">
        <v>112</v>
      </c>
      <c r="B459" t="s">
        <v>309</v>
      </c>
      <c r="C459" s="2" t="s">
        <v>111</v>
      </c>
      <c r="D459" s="5" t="s">
        <v>39</v>
      </c>
      <c r="E459" s="40">
        <v>57000</v>
      </c>
      <c r="F459" s="40">
        <v>57000</v>
      </c>
      <c r="G459" s="40">
        <v>57000</v>
      </c>
      <c r="H459" s="40">
        <v>57000</v>
      </c>
      <c r="I459" s="41">
        <v>92.63</v>
      </c>
      <c r="J459" s="41">
        <v>92.63</v>
      </c>
      <c r="K459" s="41">
        <v>104.82</v>
      </c>
      <c r="L459" s="41">
        <v>104.82</v>
      </c>
      <c r="M459" s="38">
        <v>400</v>
      </c>
      <c r="N459" s="38">
        <v>400</v>
      </c>
      <c r="O459" s="38">
        <v>400</v>
      </c>
      <c r="P459" s="38">
        <v>400</v>
      </c>
      <c r="Q459" s="38">
        <v>120</v>
      </c>
      <c r="R459" s="38">
        <v>120</v>
      </c>
      <c r="S459" s="38">
        <v>120</v>
      </c>
      <c r="T459" s="38">
        <v>120</v>
      </c>
      <c r="U459" s="38">
        <v>120</v>
      </c>
      <c r="V459" s="38">
        <v>120</v>
      </c>
      <c r="W459" s="38">
        <v>120</v>
      </c>
      <c r="X459" s="38">
        <v>120</v>
      </c>
      <c r="Y459" s="38">
        <v>500</v>
      </c>
      <c r="Z459" s="38">
        <v>500</v>
      </c>
      <c r="AA459" s="38">
        <v>500</v>
      </c>
      <c r="AB459" s="38">
        <v>500</v>
      </c>
      <c r="AC459" s="38">
        <v>2</v>
      </c>
      <c r="AD459" s="38">
        <v>4</v>
      </c>
      <c r="AE459" s="38">
        <v>8</v>
      </c>
      <c r="AF459" s="38">
        <v>8</v>
      </c>
      <c r="AG459" s="38">
        <v>0</v>
      </c>
      <c r="AH459" s="38">
        <v>0</v>
      </c>
      <c r="AI459" s="38">
        <v>0</v>
      </c>
      <c r="AJ459" s="38">
        <v>0</v>
      </c>
    </row>
    <row r="460" spans="1:36">
      <c r="A460" t="s">
        <v>112</v>
      </c>
      <c r="B460" t="s">
        <v>309</v>
      </c>
      <c r="C460" s="2" t="s">
        <v>111</v>
      </c>
      <c r="D460" s="5" t="s">
        <v>39</v>
      </c>
      <c r="E460" s="40">
        <v>58000</v>
      </c>
      <c r="F460" s="40">
        <v>58000</v>
      </c>
      <c r="G460" s="40">
        <v>58000</v>
      </c>
      <c r="H460" s="40">
        <v>58000</v>
      </c>
      <c r="I460" s="41">
        <v>92.59</v>
      </c>
      <c r="J460" s="41">
        <v>92.59</v>
      </c>
      <c r="K460" s="41">
        <v>104.74</v>
      </c>
      <c r="L460" s="41">
        <v>104.74</v>
      </c>
      <c r="M460" s="38">
        <v>400</v>
      </c>
      <c r="N460" s="38">
        <v>400</v>
      </c>
      <c r="O460" s="38">
        <v>400</v>
      </c>
      <c r="P460" s="38">
        <v>400</v>
      </c>
      <c r="Q460" s="38">
        <v>120</v>
      </c>
      <c r="R460" s="38">
        <v>120</v>
      </c>
      <c r="S460" s="38">
        <v>120</v>
      </c>
      <c r="T460" s="38">
        <v>120</v>
      </c>
      <c r="U460" s="38">
        <v>120</v>
      </c>
      <c r="V460" s="38">
        <v>120</v>
      </c>
      <c r="W460" s="38">
        <v>120</v>
      </c>
      <c r="X460" s="38">
        <v>120</v>
      </c>
      <c r="Y460" s="38">
        <v>500</v>
      </c>
      <c r="Z460" s="38">
        <v>500</v>
      </c>
      <c r="AA460" s="38">
        <v>500</v>
      </c>
      <c r="AB460" s="38">
        <v>500</v>
      </c>
      <c r="AC460" s="38">
        <v>2</v>
      </c>
      <c r="AD460" s="38">
        <v>4</v>
      </c>
      <c r="AE460" s="38">
        <v>8</v>
      </c>
      <c r="AF460" s="38">
        <v>8</v>
      </c>
      <c r="AG460" s="38">
        <v>0</v>
      </c>
      <c r="AH460" s="38">
        <v>0</v>
      </c>
      <c r="AI460" s="38">
        <v>0</v>
      </c>
      <c r="AJ460" s="38">
        <v>0</v>
      </c>
    </row>
    <row r="461" spans="1:36">
      <c r="A461" t="s">
        <v>112</v>
      </c>
      <c r="B461" t="s">
        <v>309</v>
      </c>
      <c r="C461" s="2" t="s">
        <v>111</v>
      </c>
      <c r="D461" s="5" t="s">
        <v>39</v>
      </c>
      <c r="E461" s="40">
        <v>59000</v>
      </c>
      <c r="F461" s="40">
        <v>59000</v>
      </c>
      <c r="G461" s="40">
        <v>59000</v>
      </c>
      <c r="H461" s="40">
        <v>59000</v>
      </c>
      <c r="I461" s="41">
        <v>92.54</v>
      </c>
      <c r="J461" s="41">
        <v>92.54</v>
      </c>
      <c r="K461" s="41">
        <v>104.66</v>
      </c>
      <c r="L461" s="41">
        <v>104.66</v>
      </c>
      <c r="M461" s="38">
        <v>400</v>
      </c>
      <c r="N461" s="38">
        <v>400</v>
      </c>
      <c r="O461" s="38">
        <v>400</v>
      </c>
      <c r="P461" s="38">
        <v>400</v>
      </c>
      <c r="Q461" s="38">
        <v>120</v>
      </c>
      <c r="R461" s="38">
        <v>120</v>
      </c>
      <c r="S461" s="38">
        <v>120</v>
      </c>
      <c r="T461" s="38">
        <v>120</v>
      </c>
      <c r="U461" s="38">
        <v>120</v>
      </c>
      <c r="V461" s="38">
        <v>120</v>
      </c>
      <c r="W461" s="38">
        <v>120</v>
      </c>
      <c r="X461" s="38">
        <v>120</v>
      </c>
      <c r="Y461" s="38">
        <v>500</v>
      </c>
      <c r="Z461" s="38">
        <v>500</v>
      </c>
      <c r="AA461" s="38">
        <v>500</v>
      </c>
      <c r="AB461" s="38">
        <v>500</v>
      </c>
      <c r="AC461" s="38">
        <v>2</v>
      </c>
      <c r="AD461" s="38">
        <v>4</v>
      </c>
      <c r="AE461" s="38">
        <v>8</v>
      </c>
      <c r="AF461" s="38">
        <v>8</v>
      </c>
      <c r="AG461" s="38">
        <v>0</v>
      </c>
      <c r="AH461" s="38">
        <v>0</v>
      </c>
      <c r="AI461" s="38">
        <v>0</v>
      </c>
      <c r="AJ461" s="38">
        <v>0</v>
      </c>
    </row>
    <row r="462" spans="1:36">
      <c r="A462" t="s">
        <v>112</v>
      </c>
      <c r="B462" t="s">
        <v>309</v>
      </c>
      <c r="C462" s="2" t="s">
        <v>111</v>
      </c>
      <c r="D462" s="5" t="s">
        <v>39</v>
      </c>
      <c r="E462" s="40">
        <v>60000</v>
      </c>
      <c r="F462" s="40">
        <v>60000</v>
      </c>
      <c r="G462" s="40">
        <v>60000</v>
      </c>
      <c r="H462" s="40">
        <v>60000</v>
      </c>
      <c r="I462" s="41">
        <v>92.5</v>
      </c>
      <c r="J462" s="41">
        <v>92.5</v>
      </c>
      <c r="K462" s="41">
        <v>104.58</v>
      </c>
      <c r="L462" s="41">
        <v>104.58</v>
      </c>
      <c r="M462" s="38">
        <v>400</v>
      </c>
      <c r="N462" s="38">
        <v>400</v>
      </c>
      <c r="O462" s="38">
        <v>400</v>
      </c>
      <c r="P462" s="38">
        <v>400</v>
      </c>
      <c r="Q462" s="38">
        <v>120</v>
      </c>
      <c r="R462" s="38">
        <v>120</v>
      </c>
      <c r="S462" s="38">
        <v>120</v>
      </c>
      <c r="T462" s="38">
        <v>120</v>
      </c>
      <c r="U462" s="38">
        <v>120</v>
      </c>
      <c r="V462" s="38">
        <v>120</v>
      </c>
      <c r="W462" s="38">
        <v>120</v>
      </c>
      <c r="X462" s="38">
        <v>120</v>
      </c>
      <c r="Y462" s="38">
        <v>500</v>
      </c>
      <c r="Z462" s="38">
        <v>500</v>
      </c>
      <c r="AA462" s="38">
        <v>500</v>
      </c>
      <c r="AB462" s="38">
        <v>500</v>
      </c>
      <c r="AC462" s="38">
        <v>2</v>
      </c>
      <c r="AD462" s="38">
        <v>4</v>
      </c>
      <c r="AE462" s="38">
        <v>8</v>
      </c>
      <c r="AF462" s="38">
        <v>8</v>
      </c>
      <c r="AG462" s="38">
        <v>0</v>
      </c>
      <c r="AH462" s="38">
        <v>0</v>
      </c>
      <c r="AI462" s="38">
        <v>0</v>
      </c>
      <c r="AJ462" s="38">
        <v>0</v>
      </c>
    </row>
    <row r="463" spans="1:36">
      <c r="A463" t="s">
        <v>112</v>
      </c>
      <c r="B463" t="s">
        <v>309</v>
      </c>
      <c r="C463" s="2" t="s">
        <v>111</v>
      </c>
      <c r="D463" s="5" t="s">
        <v>39</v>
      </c>
      <c r="E463" s="40">
        <v>61000</v>
      </c>
      <c r="F463" s="40">
        <v>61000</v>
      </c>
      <c r="G463" s="40">
        <v>61000</v>
      </c>
      <c r="H463" s="40">
        <v>61000</v>
      </c>
      <c r="I463" s="41">
        <v>92.46</v>
      </c>
      <c r="J463" s="41">
        <v>92.46</v>
      </c>
      <c r="K463" s="41">
        <v>104.51</v>
      </c>
      <c r="L463" s="41">
        <v>104.51</v>
      </c>
      <c r="M463" s="38">
        <v>400</v>
      </c>
      <c r="N463" s="38">
        <v>400</v>
      </c>
      <c r="O463" s="38">
        <v>400</v>
      </c>
      <c r="P463" s="38">
        <v>400</v>
      </c>
      <c r="Q463" s="38">
        <v>120</v>
      </c>
      <c r="R463" s="38">
        <v>120</v>
      </c>
      <c r="S463" s="38">
        <v>120</v>
      </c>
      <c r="T463" s="38">
        <v>120</v>
      </c>
      <c r="U463" s="38">
        <v>120</v>
      </c>
      <c r="V463" s="38">
        <v>120</v>
      </c>
      <c r="W463" s="38">
        <v>120</v>
      </c>
      <c r="X463" s="38">
        <v>120</v>
      </c>
      <c r="Y463" s="38">
        <v>500</v>
      </c>
      <c r="Z463" s="38">
        <v>500</v>
      </c>
      <c r="AA463" s="38">
        <v>500</v>
      </c>
      <c r="AB463" s="38">
        <v>500</v>
      </c>
      <c r="AC463" s="38">
        <v>2</v>
      </c>
      <c r="AD463" s="38">
        <v>4</v>
      </c>
      <c r="AE463" s="38">
        <v>8</v>
      </c>
      <c r="AF463" s="38">
        <v>8</v>
      </c>
      <c r="AG463" s="38">
        <v>0</v>
      </c>
      <c r="AH463" s="38">
        <v>0</v>
      </c>
      <c r="AI463" s="38">
        <v>0</v>
      </c>
      <c r="AJ463" s="38">
        <v>0</v>
      </c>
    </row>
    <row r="464" spans="1:36">
      <c r="A464" t="s">
        <v>112</v>
      </c>
      <c r="B464" t="s">
        <v>309</v>
      </c>
      <c r="C464" s="2" t="s">
        <v>111</v>
      </c>
      <c r="D464" s="5" t="s">
        <v>39</v>
      </c>
      <c r="E464" s="40">
        <v>62000</v>
      </c>
      <c r="F464" s="40">
        <v>62000</v>
      </c>
      <c r="G464" s="40">
        <v>62000</v>
      </c>
      <c r="H464" s="40">
        <v>62000</v>
      </c>
      <c r="I464" s="41">
        <v>92.42</v>
      </c>
      <c r="J464" s="41">
        <v>92.42</v>
      </c>
      <c r="K464" s="41">
        <v>104.44</v>
      </c>
      <c r="L464" s="41">
        <v>104.44</v>
      </c>
      <c r="M464" s="38">
        <v>400</v>
      </c>
      <c r="N464" s="38">
        <v>400</v>
      </c>
      <c r="O464" s="38">
        <v>400</v>
      </c>
      <c r="P464" s="38">
        <v>400</v>
      </c>
      <c r="Q464" s="38">
        <v>120</v>
      </c>
      <c r="R464" s="38">
        <v>120</v>
      </c>
      <c r="S464" s="38">
        <v>120</v>
      </c>
      <c r="T464" s="38">
        <v>120</v>
      </c>
      <c r="U464" s="38">
        <v>120</v>
      </c>
      <c r="V464" s="38">
        <v>120</v>
      </c>
      <c r="W464" s="38">
        <v>120</v>
      </c>
      <c r="X464" s="38">
        <v>120</v>
      </c>
      <c r="Y464" s="38">
        <v>500</v>
      </c>
      <c r="Z464" s="38">
        <v>500</v>
      </c>
      <c r="AA464" s="38">
        <v>500</v>
      </c>
      <c r="AB464" s="38">
        <v>500</v>
      </c>
      <c r="AC464" s="38">
        <v>2</v>
      </c>
      <c r="AD464" s="38">
        <v>4</v>
      </c>
      <c r="AE464" s="38">
        <v>8</v>
      </c>
      <c r="AF464" s="38">
        <v>8</v>
      </c>
      <c r="AG464" s="38">
        <v>0</v>
      </c>
      <c r="AH464" s="38">
        <v>0</v>
      </c>
      <c r="AI464" s="38">
        <v>0</v>
      </c>
      <c r="AJ464" s="38">
        <v>0</v>
      </c>
    </row>
    <row r="465" spans="1:36">
      <c r="A465" t="s">
        <v>112</v>
      </c>
      <c r="B465" t="s">
        <v>309</v>
      </c>
      <c r="C465" s="2" t="s">
        <v>111</v>
      </c>
      <c r="D465" s="5" t="s">
        <v>39</v>
      </c>
      <c r="E465" s="40">
        <v>63000</v>
      </c>
      <c r="F465" s="40">
        <v>63000</v>
      </c>
      <c r="G465" s="40">
        <v>63000</v>
      </c>
      <c r="H465" s="40">
        <v>63000</v>
      </c>
      <c r="I465" s="41">
        <v>92.38</v>
      </c>
      <c r="J465" s="41">
        <v>92.38</v>
      </c>
      <c r="K465" s="41">
        <v>104.37</v>
      </c>
      <c r="L465" s="41">
        <v>104.37</v>
      </c>
      <c r="M465" s="38">
        <v>400</v>
      </c>
      <c r="N465" s="38">
        <v>400</v>
      </c>
      <c r="O465" s="38">
        <v>400</v>
      </c>
      <c r="P465" s="38">
        <v>400</v>
      </c>
      <c r="Q465" s="38">
        <v>120</v>
      </c>
      <c r="R465" s="38">
        <v>120</v>
      </c>
      <c r="S465" s="38">
        <v>120</v>
      </c>
      <c r="T465" s="38">
        <v>120</v>
      </c>
      <c r="U465" s="38">
        <v>120</v>
      </c>
      <c r="V465" s="38">
        <v>120</v>
      </c>
      <c r="W465" s="38">
        <v>120</v>
      </c>
      <c r="X465" s="38">
        <v>120</v>
      </c>
      <c r="Y465" s="38">
        <v>500</v>
      </c>
      <c r="Z465" s="38">
        <v>500</v>
      </c>
      <c r="AA465" s="38">
        <v>500</v>
      </c>
      <c r="AB465" s="38">
        <v>500</v>
      </c>
      <c r="AC465" s="38">
        <v>2</v>
      </c>
      <c r="AD465" s="38">
        <v>4</v>
      </c>
      <c r="AE465" s="38">
        <v>8</v>
      </c>
      <c r="AF465" s="38">
        <v>8</v>
      </c>
      <c r="AG465" s="38">
        <v>0</v>
      </c>
      <c r="AH465" s="38">
        <v>0</v>
      </c>
      <c r="AI465" s="38">
        <v>0</v>
      </c>
      <c r="AJ465" s="38">
        <v>0</v>
      </c>
    </row>
    <row r="466" spans="1:36">
      <c r="A466" t="s">
        <v>112</v>
      </c>
      <c r="B466" t="s">
        <v>309</v>
      </c>
      <c r="C466" s="2" t="s">
        <v>111</v>
      </c>
      <c r="D466" s="5" t="s">
        <v>39</v>
      </c>
      <c r="E466" s="40">
        <v>64000</v>
      </c>
      <c r="F466" s="40">
        <v>64000</v>
      </c>
      <c r="G466" s="40">
        <v>64000</v>
      </c>
      <c r="H466" s="40">
        <v>64000</v>
      </c>
      <c r="I466" s="41">
        <v>92.34</v>
      </c>
      <c r="J466" s="41">
        <v>92.34</v>
      </c>
      <c r="K466" s="41">
        <v>104.3</v>
      </c>
      <c r="L466" s="41">
        <v>104.3</v>
      </c>
      <c r="M466" s="38">
        <v>400</v>
      </c>
      <c r="N466" s="38">
        <v>400</v>
      </c>
      <c r="O466" s="38">
        <v>400</v>
      </c>
      <c r="P466" s="38">
        <v>400</v>
      </c>
      <c r="Q466" s="38">
        <v>120</v>
      </c>
      <c r="R466" s="38">
        <v>120</v>
      </c>
      <c r="S466" s="38">
        <v>120</v>
      </c>
      <c r="T466" s="38">
        <v>120</v>
      </c>
      <c r="U466" s="38">
        <v>120</v>
      </c>
      <c r="V466" s="38">
        <v>120</v>
      </c>
      <c r="W466" s="38">
        <v>120</v>
      </c>
      <c r="X466" s="38">
        <v>120</v>
      </c>
      <c r="Y466" s="38">
        <v>500</v>
      </c>
      <c r="Z466" s="38">
        <v>500</v>
      </c>
      <c r="AA466" s="38">
        <v>500</v>
      </c>
      <c r="AB466" s="38">
        <v>500</v>
      </c>
      <c r="AC466" s="38">
        <v>2</v>
      </c>
      <c r="AD466" s="38">
        <v>4</v>
      </c>
      <c r="AE466" s="38">
        <v>8</v>
      </c>
      <c r="AF466" s="38">
        <v>8</v>
      </c>
      <c r="AG466" s="38">
        <v>0</v>
      </c>
      <c r="AH466" s="38">
        <v>0</v>
      </c>
      <c r="AI466" s="38">
        <v>0</v>
      </c>
      <c r="AJ466" s="38">
        <v>0</v>
      </c>
    </row>
    <row r="467" spans="1:36">
      <c r="A467" t="s">
        <v>112</v>
      </c>
      <c r="B467" t="s">
        <v>309</v>
      </c>
      <c r="C467" s="2" t="s">
        <v>111</v>
      </c>
      <c r="D467" s="5" t="s">
        <v>39</v>
      </c>
      <c r="E467" s="40">
        <v>65000</v>
      </c>
      <c r="F467" s="40">
        <v>65000</v>
      </c>
      <c r="G467" s="40">
        <v>65000</v>
      </c>
      <c r="H467" s="40">
        <v>65000</v>
      </c>
      <c r="I467" s="41">
        <v>92.31</v>
      </c>
      <c r="J467" s="41">
        <v>92.31</v>
      </c>
      <c r="K467" s="41">
        <v>104.23</v>
      </c>
      <c r="L467" s="41">
        <v>104.23</v>
      </c>
      <c r="M467" s="38">
        <v>400</v>
      </c>
      <c r="N467" s="38">
        <v>400</v>
      </c>
      <c r="O467" s="38">
        <v>400</v>
      </c>
      <c r="P467" s="38">
        <v>400</v>
      </c>
      <c r="Q467" s="38">
        <v>120</v>
      </c>
      <c r="R467" s="38">
        <v>120</v>
      </c>
      <c r="S467" s="38">
        <v>120</v>
      </c>
      <c r="T467" s="38">
        <v>120</v>
      </c>
      <c r="U467" s="38">
        <v>120</v>
      </c>
      <c r="V467" s="38">
        <v>120</v>
      </c>
      <c r="W467" s="38">
        <v>120</v>
      </c>
      <c r="X467" s="38">
        <v>120</v>
      </c>
      <c r="Y467" s="38">
        <v>500</v>
      </c>
      <c r="Z467" s="38">
        <v>500</v>
      </c>
      <c r="AA467" s="38">
        <v>500</v>
      </c>
      <c r="AB467" s="38">
        <v>500</v>
      </c>
      <c r="AC467" s="38">
        <v>2</v>
      </c>
      <c r="AD467" s="38">
        <v>4</v>
      </c>
      <c r="AE467" s="38">
        <v>8</v>
      </c>
      <c r="AF467" s="38">
        <v>8</v>
      </c>
      <c r="AG467" s="38">
        <v>0</v>
      </c>
      <c r="AH467" s="38">
        <v>0</v>
      </c>
      <c r="AI467" s="38">
        <v>0</v>
      </c>
      <c r="AJ467" s="38">
        <v>0</v>
      </c>
    </row>
    <row r="468" spans="1:36">
      <c r="A468" t="s">
        <v>112</v>
      </c>
      <c r="B468" t="s">
        <v>309</v>
      </c>
      <c r="C468" s="2" t="s">
        <v>111</v>
      </c>
      <c r="D468" s="5" t="s">
        <v>39</v>
      </c>
      <c r="E468" s="40">
        <v>66000</v>
      </c>
      <c r="F468" s="40">
        <v>66000</v>
      </c>
      <c r="G468" s="40">
        <v>66000</v>
      </c>
      <c r="H468" s="40">
        <v>66000</v>
      </c>
      <c r="I468" s="41">
        <v>92.27</v>
      </c>
      <c r="J468" s="41">
        <v>92.27</v>
      </c>
      <c r="K468" s="41">
        <v>104.17</v>
      </c>
      <c r="L468" s="41">
        <v>104.17</v>
      </c>
      <c r="M468" s="38">
        <v>400</v>
      </c>
      <c r="N468" s="38">
        <v>400</v>
      </c>
      <c r="O468" s="38">
        <v>400</v>
      </c>
      <c r="P468" s="38">
        <v>400</v>
      </c>
      <c r="Q468" s="38">
        <v>120</v>
      </c>
      <c r="R468" s="38">
        <v>120</v>
      </c>
      <c r="S468" s="38">
        <v>120</v>
      </c>
      <c r="T468" s="38">
        <v>120</v>
      </c>
      <c r="U468" s="38">
        <v>120</v>
      </c>
      <c r="V468" s="38">
        <v>120</v>
      </c>
      <c r="W468" s="38">
        <v>120</v>
      </c>
      <c r="X468" s="38">
        <v>120</v>
      </c>
      <c r="Y468" s="38">
        <v>500</v>
      </c>
      <c r="Z468" s="38">
        <v>500</v>
      </c>
      <c r="AA468" s="38">
        <v>500</v>
      </c>
      <c r="AB468" s="38">
        <v>500</v>
      </c>
      <c r="AC468" s="38">
        <v>2</v>
      </c>
      <c r="AD468" s="38">
        <v>4</v>
      </c>
      <c r="AE468" s="38">
        <v>8</v>
      </c>
      <c r="AF468" s="38">
        <v>8</v>
      </c>
      <c r="AG468" s="38">
        <v>0</v>
      </c>
      <c r="AH468" s="38">
        <v>0</v>
      </c>
      <c r="AI468" s="38">
        <v>0</v>
      </c>
      <c r="AJ468" s="38">
        <v>0</v>
      </c>
    </row>
    <row r="469" spans="1:36">
      <c r="A469" t="s">
        <v>112</v>
      </c>
      <c r="B469" t="s">
        <v>309</v>
      </c>
      <c r="C469" s="2" t="s">
        <v>111</v>
      </c>
      <c r="D469" s="5" t="s">
        <v>39</v>
      </c>
      <c r="E469" s="40">
        <v>67000</v>
      </c>
      <c r="F469" s="40">
        <v>67000</v>
      </c>
      <c r="G469" s="40">
        <v>67000</v>
      </c>
      <c r="H469" s="40">
        <v>67000</v>
      </c>
      <c r="I469" s="41">
        <v>92.24</v>
      </c>
      <c r="J469" s="41">
        <v>92.24</v>
      </c>
      <c r="K469" s="41">
        <v>104.1</v>
      </c>
      <c r="L469" s="41">
        <v>104.1</v>
      </c>
      <c r="M469" s="38">
        <v>400</v>
      </c>
      <c r="N469" s="38">
        <v>400</v>
      </c>
      <c r="O469" s="38">
        <v>400</v>
      </c>
      <c r="P469" s="38">
        <v>400</v>
      </c>
      <c r="Q469" s="38">
        <v>120</v>
      </c>
      <c r="R469" s="38">
        <v>120</v>
      </c>
      <c r="S469" s="38">
        <v>120</v>
      </c>
      <c r="T469" s="38">
        <v>120</v>
      </c>
      <c r="U469" s="38">
        <v>120</v>
      </c>
      <c r="V469" s="38">
        <v>120</v>
      </c>
      <c r="W469" s="38">
        <v>120</v>
      </c>
      <c r="X469" s="38">
        <v>120</v>
      </c>
      <c r="Y469" s="38">
        <v>500</v>
      </c>
      <c r="Z469" s="38">
        <v>500</v>
      </c>
      <c r="AA469" s="38">
        <v>500</v>
      </c>
      <c r="AB469" s="38">
        <v>500</v>
      </c>
      <c r="AC469" s="38">
        <v>2</v>
      </c>
      <c r="AD469" s="38">
        <v>4</v>
      </c>
      <c r="AE469" s="38">
        <v>8</v>
      </c>
      <c r="AF469" s="38">
        <v>8</v>
      </c>
      <c r="AG469" s="38">
        <v>0</v>
      </c>
      <c r="AH469" s="38">
        <v>0</v>
      </c>
      <c r="AI469" s="38">
        <v>0</v>
      </c>
      <c r="AJ469" s="38">
        <v>0</v>
      </c>
    </row>
    <row r="470" spans="1:36">
      <c r="A470" t="s">
        <v>112</v>
      </c>
      <c r="B470" t="s">
        <v>309</v>
      </c>
      <c r="C470" s="2" t="s">
        <v>111</v>
      </c>
      <c r="D470" s="5" t="s">
        <v>39</v>
      </c>
      <c r="E470" s="40">
        <v>68000</v>
      </c>
      <c r="F470" s="40">
        <v>68000</v>
      </c>
      <c r="G470" s="40">
        <v>68000</v>
      </c>
      <c r="H470" s="40">
        <v>68000</v>
      </c>
      <c r="I470" s="41">
        <v>92.21</v>
      </c>
      <c r="J470" s="41">
        <v>92.21</v>
      </c>
      <c r="K470" s="41">
        <v>104.04</v>
      </c>
      <c r="L470" s="41">
        <v>104.04</v>
      </c>
      <c r="M470" s="38">
        <v>400</v>
      </c>
      <c r="N470" s="38">
        <v>400</v>
      </c>
      <c r="O470" s="38">
        <v>400</v>
      </c>
      <c r="P470" s="38">
        <v>400</v>
      </c>
      <c r="Q470" s="38">
        <v>120</v>
      </c>
      <c r="R470" s="38">
        <v>120</v>
      </c>
      <c r="S470" s="38">
        <v>120</v>
      </c>
      <c r="T470" s="38">
        <v>120</v>
      </c>
      <c r="U470" s="38">
        <v>120</v>
      </c>
      <c r="V470" s="38">
        <v>120</v>
      </c>
      <c r="W470" s="38">
        <v>120</v>
      </c>
      <c r="X470" s="38">
        <v>120</v>
      </c>
      <c r="Y470" s="38">
        <v>500</v>
      </c>
      <c r="Z470" s="38">
        <v>500</v>
      </c>
      <c r="AA470" s="38">
        <v>500</v>
      </c>
      <c r="AB470" s="38">
        <v>500</v>
      </c>
      <c r="AC470" s="38">
        <v>2</v>
      </c>
      <c r="AD470" s="38">
        <v>4</v>
      </c>
      <c r="AE470" s="38">
        <v>8</v>
      </c>
      <c r="AF470" s="38">
        <v>8</v>
      </c>
      <c r="AG470" s="38">
        <v>0</v>
      </c>
      <c r="AH470" s="38">
        <v>0</v>
      </c>
      <c r="AI470" s="38">
        <v>0</v>
      </c>
      <c r="AJ470" s="38">
        <v>0</v>
      </c>
    </row>
    <row r="471" spans="1:36">
      <c r="A471" t="s">
        <v>112</v>
      </c>
      <c r="B471" t="s">
        <v>309</v>
      </c>
      <c r="C471" s="2" t="s">
        <v>111</v>
      </c>
      <c r="D471" s="5" t="s">
        <v>39</v>
      </c>
      <c r="E471" s="40">
        <v>69000</v>
      </c>
      <c r="F471" s="40">
        <v>69000</v>
      </c>
      <c r="G471" s="40">
        <v>69000</v>
      </c>
      <c r="H471" s="40">
        <v>69000</v>
      </c>
      <c r="I471" s="41">
        <v>92.17</v>
      </c>
      <c r="J471" s="41">
        <v>92.17</v>
      </c>
      <c r="K471" s="41">
        <v>103.99</v>
      </c>
      <c r="L471" s="41">
        <v>103.99</v>
      </c>
      <c r="M471" s="38">
        <v>400</v>
      </c>
      <c r="N471" s="38">
        <v>400</v>
      </c>
      <c r="O471" s="38">
        <v>400</v>
      </c>
      <c r="P471" s="38">
        <v>400</v>
      </c>
      <c r="Q471" s="38">
        <v>120</v>
      </c>
      <c r="R471" s="38">
        <v>120</v>
      </c>
      <c r="S471" s="38">
        <v>120</v>
      </c>
      <c r="T471" s="38">
        <v>120</v>
      </c>
      <c r="U471" s="38">
        <v>120</v>
      </c>
      <c r="V471" s="38">
        <v>120</v>
      </c>
      <c r="W471" s="38">
        <v>120</v>
      </c>
      <c r="X471" s="38">
        <v>120</v>
      </c>
      <c r="Y471" s="38">
        <v>500</v>
      </c>
      <c r="Z471" s="38">
        <v>500</v>
      </c>
      <c r="AA471" s="38">
        <v>500</v>
      </c>
      <c r="AB471" s="38">
        <v>500</v>
      </c>
      <c r="AC471" s="38">
        <v>2</v>
      </c>
      <c r="AD471" s="38">
        <v>4</v>
      </c>
      <c r="AE471" s="38">
        <v>8</v>
      </c>
      <c r="AF471" s="38">
        <v>8</v>
      </c>
      <c r="AG471" s="38">
        <v>0</v>
      </c>
      <c r="AH471" s="38">
        <v>0</v>
      </c>
      <c r="AI471" s="38">
        <v>0</v>
      </c>
      <c r="AJ471" s="38">
        <v>0</v>
      </c>
    </row>
    <row r="472" spans="1:36">
      <c r="A472" t="s">
        <v>112</v>
      </c>
      <c r="B472" t="s">
        <v>309</v>
      </c>
      <c r="C472" s="2" t="s">
        <v>111</v>
      </c>
      <c r="D472" s="5" t="s">
        <v>39</v>
      </c>
      <c r="E472" s="40">
        <v>70000</v>
      </c>
      <c r="F472" s="40">
        <v>70000</v>
      </c>
      <c r="G472" s="40">
        <v>70000</v>
      </c>
      <c r="H472" s="40">
        <v>70000</v>
      </c>
      <c r="I472" s="41">
        <v>92.14</v>
      </c>
      <c r="J472" s="41">
        <v>92.14</v>
      </c>
      <c r="K472" s="41">
        <v>103.93</v>
      </c>
      <c r="L472" s="41">
        <v>103.93</v>
      </c>
      <c r="M472" s="38">
        <v>400</v>
      </c>
      <c r="N472" s="38">
        <v>400</v>
      </c>
      <c r="O472" s="38">
        <v>400</v>
      </c>
      <c r="P472" s="38">
        <v>400</v>
      </c>
      <c r="Q472" s="38">
        <v>120</v>
      </c>
      <c r="R472" s="38">
        <v>120</v>
      </c>
      <c r="S472" s="38">
        <v>120</v>
      </c>
      <c r="T472" s="38">
        <v>120</v>
      </c>
      <c r="U472" s="38">
        <v>120</v>
      </c>
      <c r="V472" s="38">
        <v>120</v>
      </c>
      <c r="W472" s="38">
        <v>120</v>
      </c>
      <c r="X472" s="38">
        <v>120</v>
      </c>
      <c r="Y472" s="38">
        <v>500</v>
      </c>
      <c r="Z472" s="38">
        <v>500</v>
      </c>
      <c r="AA472" s="38">
        <v>500</v>
      </c>
      <c r="AB472" s="38">
        <v>500</v>
      </c>
      <c r="AC472" s="38">
        <v>2</v>
      </c>
      <c r="AD472" s="38">
        <v>4</v>
      </c>
      <c r="AE472" s="38">
        <v>8</v>
      </c>
      <c r="AF472" s="38">
        <v>8</v>
      </c>
      <c r="AG472" s="38">
        <v>0</v>
      </c>
      <c r="AH472" s="38">
        <v>0</v>
      </c>
      <c r="AI472" s="38">
        <v>0</v>
      </c>
      <c r="AJ472" s="38">
        <v>0</v>
      </c>
    </row>
    <row r="473" spans="1:36">
      <c r="A473" t="s">
        <v>112</v>
      </c>
      <c r="B473" t="s">
        <v>309</v>
      </c>
      <c r="C473" s="2" t="s">
        <v>111</v>
      </c>
      <c r="D473" s="5" t="s">
        <v>39</v>
      </c>
      <c r="E473" s="40">
        <v>71000</v>
      </c>
      <c r="F473" s="40">
        <v>71000</v>
      </c>
      <c r="G473" s="40">
        <v>71000</v>
      </c>
      <c r="H473" s="40">
        <v>71000</v>
      </c>
      <c r="I473" s="41">
        <v>92.11</v>
      </c>
      <c r="J473" s="41">
        <v>92.11</v>
      </c>
      <c r="K473" s="41">
        <v>103.87</v>
      </c>
      <c r="L473" s="41">
        <v>103.87</v>
      </c>
      <c r="M473" s="38">
        <v>400</v>
      </c>
      <c r="N473" s="38">
        <v>400</v>
      </c>
      <c r="O473" s="38">
        <v>400</v>
      </c>
      <c r="P473" s="38">
        <v>400</v>
      </c>
      <c r="Q473" s="38">
        <v>120</v>
      </c>
      <c r="R473" s="38">
        <v>120</v>
      </c>
      <c r="S473" s="38">
        <v>120</v>
      </c>
      <c r="T473" s="38">
        <v>120</v>
      </c>
      <c r="U473" s="38">
        <v>120</v>
      </c>
      <c r="V473" s="38">
        <v>120</v>
      </c>
      <c r="W473" s="38">
        <v>120</v>
      </c>
      <c r="X473" s="38">
        <v>120</v>
      </c>
      <c r="Y473" s="38">
        <v>500</v>
      </c>
      <c r="Z473" s="38">
        <v>500</v>
      </c>
      <c r="AA473" s="38">
        <v>500</v>
      </c>
      <c r="AB473" s="38">
        <v>500</v>
      </c>
      <c r="AC473" s="38">
        <v>2</v>
      </c>
      <c r="AD473" s="38">
        <v>4</v>
      </c>
      <c r="AE473" s="38">
        <v>8</v>
      </c>
      <c r="AF473" s="38">
        <v>8</v>
      </c>
      <c r="AG473" s="38">
        <v>0</v>
      </c>
      <c r="AH473" s="38">
        <v>0</v>
      </c>
      <c r="AI473" s="38">
        <v>0</v>
      </c>
      <c r="AJ473" s="38">
        <v>0</v>
      </c>
    </row>
    <row r="474" spans="1:36">
      <c r="A474" t="s">
        <v>112</v>
      </c>
      <c r="B474" t="s">
        <v>309</v>
      </c>
      <c r="C474" s="2" t="s">
        <v>111</v>
      </c>
      <c r="D474" s="5" t="s">
        <v>39</v>
      </c>
      <c r="E474" s="40">
        <v>72000</v>
      </c>
      <c r="F474" s="40">
        <v>72000</v>
      </c>
      <c r="G474" s="40">
        <v>72000</v>
      </c>
      <c r="H474" s="40">
        <v>72000</v>
      </c>
      <c r="I474" s="41">
        <v>92.08</v>
      </c>
      <c r="J474" s="41">
        <v>92.08</v>
      </c>
      <c r="K474" s="41">
        <v>103.82</v>
      </c>
      <c r="L474" s="41">
        <v>103.82</v>
      </c>
      <c r="M474" s="38">
        <v>400</v>
      </c>
      <c r="N474" s="38">
        <v>400</v>
      </c>
      <c r="O474" s="38">
        <v>400</v>
      </c>
      <c r="P474" s="38">
        <v>400</v>
      </c>
      <c r="Q474" s="38">
        <v>120</v>
      </c>
      <c r="R474" s="38">
        <v>120</v>
      </c>
      <c r="S474" s="38">
        <v>120</v>
      </c>
      <c r="T474" s="38">
        <v>120</v>
      </c>
      <c r="U474" s="38">
        <v>120</v>
      </c>
      <c r="V474" s="38">
        <v>120</v>
      </c>
      <c r="W474" s="38">
        <v>120</v>
      </c>
      <c r="X474" s="38">
        <v>120</v>
      </c>
      <c r="Y474" s="38">
        <v>500</v>
      </c>
      <c r="Z474" s="38">
        <v>500</v>
      </c>
      <c r="AA474" s="38">
        <v>500</v>
      </c>
      <c r="AB474" s="38">
        <v>500</v>
      </c>
      <c r="AC474" s="38">
        <v>2</v>
      </c>
      <c r="AD474" s="38">
        <v>4</v>
      </c>
      <c r="AE474" s="38">
        <v>8</v>
      </c>
      <c r="AF474" s="38">
        <v>8</v>
      </c>
      <c r="AG474" s="38">
        <v>0</v>
      </c>
      <c r="AH474" s="38">
        <v>0</v>
      </c>
      <c r="AI474" s="38">
        <v>0</v>
      </c>
      <c r="AJ474" s="38">
        <v>0</v>
      </c>
    </row>
    <row r="475" spans="1:36">
      <c r="A475" t="s">
        <v>112</v>
      </c>
      <c r="B475" t="s">
        <v>309</v>
      </c>
      <c r="C475" s="2" t="s">
        <v>111</v>
      </c>
      <c r="D475" s="5" t="s">
        <v>39</v>
      </c>
      <c r="E475" s="40">
        <v>73000</v>
      </c>
      <c r="F475" s="40">
        <v>73000</v>
      </c>
      <c r="G475" s="40">
        <v>73000</v>
      </c>
      <c r="H475" s="40">
        <v>73000</v>
      </c>
      <c r="I475" s="41">
        <v>92.05</v>
      </c>
      <c r="J475" s="41">
        <v>92.05</v>
      </c>
      <c r="K475" s="41">
        <v>103.77</v>
      </c>
      <c r="L475" s="41">
        <v>103.77</v>
      </c>
      <c r="M475" s="38">
        <v>400</v>
      </c>
      <c r="N475" s="38">
        <v>400</v>
      </c>
      <c r="O475" s="38">
        <v>400</v>
      </c>
      <c r="P475" s="38">
        <v>400</v>
      </c>
      <c r="Q475" s="38">
        <v>120</v>
      </c>
      <c r="R475" s="38">
        <v>120</v>
      </c>
      <c r="S475" s="38">
        <v>120</v>
      </c>
      <c r="T475" s="38">
        <v>120</v>
      </c>
      <c r="U475" s="38">
        <v>120</v>
      </c>
      <c r="V475" s="38">
        <v>120</v>
      </c>
      <c r="W475" s="38">
        <v>120</v>
      </c>
      <c r="X475" s="38">
        <v>120</v>
      </c>
      <c r="Y475" s="38">
        <v>500</v>
      </c>
      <c r="Z475" s="38">
        <v>500</v>
      </c>
      <c r="AA475" s="38">
        <v>500</v>
      </c>
      <c r="AB475" s="38">
        <v>500</v>
      </c>
      <c r="AC475" s="38">
        <v>2</v>
      </c>
      <c r="AD475" s="38">
        <v>4</v>
      </c>
      <c r="AE475" s="38">
        <v>8</v>
      </c>
      <c r="AF475" s="38">
        <v>8</v>
      </c>
      <c r="AG475" s="38">
        <v>0</v>
      </c>
      <c r="AH475" s="38">
        <v>0</v>
      </c>
      <c r="AI475" s="38">
        <v>0</v>
      </c>
      <c r="AJ475" s="38">
        <v>0</v>
      </c>
    </row>
    <row r="476" spans="1:36">
      <c r="A476" t="s">
        <v>112</v>
      </c>
      <c r="B476" t="s">
        <v>309</v>
      </c>
      <c r="C476" s="2" t="s">
        <v>111</v>
      </c>
      <c r="D476" s="5" t="s">
        <v>39</v>
      </c>
      <c r="E476" s="40">
        <v>74000</v>
      </c>
      <c r="F476" s="40">
        <v>74000</v>
      </c>
      <c r="G476" s="40">
        <v>74000</v>
      </c>
      <c r="H476" s="40">
        <v>74000</v>
      </c>
      <c r="I476" s="41">
        <v>92.03</v>
      </c>
      <c r="J476" s="41">
        <v>92.03</v>
      </c>
      <c r="K476" s="41">
        <v>103.72</v>
      </c>
      <c r="L476" s="41">
        <v>103.72</v>
      </c>
      <c r="M476" s="38">
        <v>400</v>
      </c>
      <c r="N476" s="38">
        <v>400</v>
      </c>
      <c r="O476" s="38">
        <v>400</v>
      </c>
      <c r="P476" s="38">
        <v>400</v>
      </c>
      <c r="Q476" s="38">
        <v>120</v>
      </c>
      <c r="R476" s="38">
        <v>120</v>
      </c>
      <c r="S476" s="38">
        <v>120</v>
      </c>
      <c r="T476" s="38">
        <v>120</v>
      </c>
      <c r="U476" s="38">
        <v>120</v>
      </c>
      <c r="V476" s="38">
        <v>120</v>
      </c>
      <c r="W476" s="38">
        <v>120</v>
      </c>
      <c r="X476" s="38">
        <v>120</v>
      </c>
      <c r="Y476" s="38">
        <v>500</v>
      </c>
      <c r="Z476" s="38">
        <v>500</v>
      </c>
      <c r="AA476" s="38">
        <v>500</v>
      </c>
      <c r="AB476" s="38">
        <v>500</v>
      </c>
      <c r="AC476" s="38">
        <v>2</v>
      </c>
      <c r="AD476" s="38">
        <v>4</v>
      </c>
      <c r="AE476" s="38">
        <v>8</v>
      </c>
      <c r="AF476" s="38">
        <v>8</v>
      </c>
      <c r="AG476" s="38">
        <v>0</v>
      </c>
      <c r="AH476" s="38">
        <v>0</v>
      </c>
      <c r="AI476" s="38">
        <v>0</v>
      </c>
      <c r="AJ476" s="38">
        <v>0</v>
      </c>
    </row>
    <row r="477" spans="1:36">
      <c r="A477" t="s">
        <v>112</v>
      </c>
      <c r="B477" t="s">
        <v>309</v>
      </c>
      <c r="C477" s="2" t="s">
        <v>111</v>
      </c>
      <c r="D477" s="5" t="s">
        <v>39</v>
      </c>
      <c r="E477" s="40">
        <v>75000</v>
      </c>
      <c r="F477" s="40">
        <v>75000</v>
      </c>
      <c r="G477" s="40">
        <v>75000</v>
      </c>
      <c r="H477" s="40">
        <v>75000</v>
      </c>
      <c r="I477" s="41">
        <v>92</v>
      </c>
      <c r="J477" s="41">
        <v>92</v>
      </c>
      <c r="K477" s="41">
        <v>103.67</v>
      </c>
      <c r="L477" s="41">
        <v>103.67</v>
      </c>
      <c r="M477" s="38">
        <v>400</v>
      </c>
      <c r="N477" s="38">
        <v>400</v>
      </c>
      <c r="O477" s="38">
        <v>400</v>
      </c>
      <c r="P477" s="38">
        <v>400</v>
      </c>
      <c r="Q477" s="38">
        <v>120</v>
      </c>
      <c r="R477" s="38">
        <v>120</v>
      </c>
      <c r="S477" s="38">
        <v>120</v>
      </c>
      <c r="T477" s="38">
        <v>120</v>
      </c>
      <c r="U477" s="38">
        <v>120</v>
      </c>
      <c r="V477" s="38">
        <v>120</v>
      </c>
      <c r="W477" s="38">
        <v>120</v>
      </c>
      <c r="X477" s="38">
        <v>120</v>
      </c>
      <c r="Y477" s="38">
        <v>500</v>
      </c>
      <c r="Z477" s="38">
        <v>500</v>
      </c>
      <c r="AA477" s="38">
        <v>500</v>
      </c>
      <c r="AB477" s="38">
        <v>500</v>
      </c>
      <c r="AC477" s="38">
        <v>2</v>
      </c>
      <c r="AD477" s="38">
        <v>4</v>
      </c>
      <c r="AE477" s="38">
        <v>8</v>
      </c>
      <c r="AF477" s="38">
        <v>8</v>
      </c>
      <c r="AG477" s="38">
        <v>0</v>
      </c>
      <c r="AH477" s="38">
        <v>0</v>
      </c>
      <c r="AI477" s="38">
        <v>0</v>
      </c>
      <c r="AJ477" s="38">
        <v>0</v>
      </c>
    </row>
    <row r="478" spans="1:36">
      <c r="A478" t="s">
        <v>112</v>
      </c>
      <c r="B478" t="s">
        <v>309</v>
      </c>
      <c r="C478" s="2" t="s">
        <v>111</v>
      </c>
      <c r="D478" s="5" t="s">
        <v>39</v>
      </c>
      <c r="E478" s="40">
        <v>76000</v>
      </c>
      <c r="F478" s="40">
        <v>76000</v>
      </c>
      <c r="G478" s="40">
        <v>76000</v>
      </c>
      <c r="H478" s="40">
        <v>76000</v>
      </c>
      <c r="I478" s="41">
        <v>91.97</v>
      </c>
      <c r="J478" s="41">
        <v>91.97</v>
      </c>
      <c r="K478" s="41">
        <v>103.62</v>
      </c>
      <c r="L478" s="41">
        <v>103.62</v>
      </c>
      <c r="M478" s="38">
        <v>400</v>
      </c>
      <c r="N478" s="38">
        <v>400</v>
      </c>
      <c r="O478" s="38">
        <v>400</v>
      </c>
      <c r="P478" s="38">
        <v>400</v>
      </c>
      <c r="Q478" s="38">
        <v>120</v>
      </c>
      <c r="R478" s="38">
        <v>120</v>
      </c>
      <c r="S478" s="38">
        <v>120</v>
      </c>
      <c r="T478" s="38">
        <v>120</v>
      </c>
      <c r="U478" s="38">
        <v>120</v>
      </c>
      <c r="V478" s="38">
        <v>120</v>
      </c>
      <c r="W478" s="38">
        <v>120</v>
      </c>
      <c r="X478" s="38">
        <v>120</v>
      </c>
      <c r="Y478" s="38">
        <v>500</v>
      </c>
      <c r="Z478" s="38">
        <v>500</v>
      </c>
      <c r="AA478" s="38">
        <v>500</v>
      </c>
      <c r="AB478" s="38">
        <v>500</v>
      </c>
      <c r="AC478" s="38">
        <v>2</v>
      </c>
      <c r="AD478" s="38">
        <v>4</v>
      </c>
      <c r="AE478" s="38">
        <v>8</v>
      </c>
      <c r="AF478" s="38">
        <v>8</v>
      </c>
      <c r="AG478" s="38">
        <v>0</v>
      </c>
      <c r="AH478" s="38">
        <v>0</v>
      </c>
      <c r="AI478" s="38">
        <v>0</v>
      </c>
      <c r="AJ478" s="38">
        <v>0</v>
      </c>
    </row>
    <row r="479" spans="1:36">
      <c r="A479" t="s">
        <v>112</v>
      </c>
      <c r="B479" t="s">
        <v>309</v>
      </c>
      <c r="C479" s="2" t="s">
        <v>111</v>
      </c>
      <c r="D479" s="5" t="s">
        <v>39</v>
      </c>
      <c r="E479" s="40">
        <v>77000</v>
      </c>
      <c r="F479" s="40">
        <v>77000</v>
      </c>
      <c r="G479" s="40">
        <v>77000</v>
      </c>
      <c r="H479" s="40">
        <v>77000</v>
      </c>
      <c r="I479" s="41">
        <v>91.95</v>
      </c>
      <c r="J479" s="41">
        <v>91.95</v>
      </c>
      <c r="K479" s="41">
        <v>103.57</v>
      </c>
      <c r="L479" s="41">
        <v>103.57</v>
      </c>
      <c r="M479" s="38">
        <v>400</v>
      </c>
      <c r="N479" s="38">
        <v>400</v>
      </c>
      <c r="O479" s="38">
        <v>400</v>
      </c>
      <c r="P479" s="38">
        <v>400</v>
      </c>
      <c r="Q479" s="38">
        <v>120</v>
      </c>
      <c r="R479" s="38">
        <v>120</v>
      </c>
      <c r="S479" s="38">
        <v>120</v>
      </c>
      <c r="T479" s="38">
        <v>120</v>
      </c>
      <c r="U479" s="38">
        <v>120</v>
      </c>
      <c r="V479" s="38">
        <v>120</v>
      </c>
      <c r="W479" s="38">
        <v>120</v>
      </c>
      <c r="X479" s="38">
        <v>120</v>
      </c>
      <c r="Y479" s="38">
        <v>500</v>
      </c>
      <c r="Z479" s="38">
        <v>500</v>
      </c>
      <c r="AA479" s="38">
        <v>500</v>
      </c>
      <c r="AB479" s="38">
        <v>500</v>
      </c>
      <c r="AC479" s="38">
        <v>2</v>
      </c>
      <c r="AD479" s="38">
        <v>4</v>
      </c>
      <c r="AE479" s="38">
        <v>8</v>
      </c>
      <c r="AF479" s="38">
        <v>8</v>
      </c>
      <c r="AG479" s="38">
        <v>0</v>
      </c>
      <c r="AH479" s="38">
        <v>0</v>
      </c>
      <c r="AI479" s="38">
        <v>0</v>
      </c>
      <c r="AJ479" s="38">
        <v>0</v>
      </c>
    </row>
    <row r="480" spans="1:36">
      <c r="A480" t="s">
        <v>112</v>
      </c>
      <c r="B480" t="s">
        <v>309</v>
      </c>
      <c r="C480" s="2" t="s">
        <v>111</v>
      </c>
      <c r="D480" s="5" t="s">
        <v>39</v>
      </c>
      <c r="E480" s="40">
        <v>78000</v>
      </c>
      <c r="F480" s="40">
        <v>78000</v>
      </c>
      <c r="G480" s="40">
        <v>78000</v>
      </c>
      <c r="H480" s="40">
        <v>78000</v>
      </c>
      <c r="I480" s="41">
        <v>91.92</v>
      </c>
      <c r="J480" s="41">
        <v>91.92</v>
      </c>
      <c r="K480" s="41">
        <v>103.53</v>
      </c>
      <c r="L480" s="41">
        <v>103.53</v>
      </c>
      <c r="M480" s="38">
        <v>400</v>
      </c>
      <c r="N480" s="38">
        <v>400</v>
      </c>
      <c r="O480" s="38">
        <v>400</v>
      </c>
      <c r="P480" s="38">
        <v>400</v>
      </c>
      <c r="Q480" s="38">
        <v>120</v>
      </c>
      <c r="R480" s="38">
        <v>120</v>
      </c>
      <c r="S480" s="38">
        <v>120</v>
      </c>
      <c r="T480" s="38">
        <v>120</v>
      </c>
      <c r="U480" s="38">
        <v>120</v>
      </c>
      <c r="V480" s="38">
        <v>120</v>
      </c>
      <c r="W480" s="38">
        <v>120</v>
      </c>
      <c r="X480" s="38">
        <v>120</v>
      </c>
      <c r="Y480" s="38">
        <v>500</v>
      </c>
      <c r="Z480" s="38">
        <v>500</v>
      </c>
      <c r="AA480" s="38">
        <v>500</v>
      </c>
      <c r="AB480" s="38">
        <v>500</v>
      </c>
      <c r="AC480" s="38">
        <v>2</v>
      </c>
      <c r="AD480" s="38">
        <v>4</v>
      </c>
      <c r="AE480" s="38">
        <v>8</v>
      </c>
      <c r="AF480" s="38">
        <v>8</v>
      </c>
      <c r="AG480" s="38">
        <v>0</v>
      </c>
      <c r="AH480" s="38">
        <v>0</v>
      </c>
      <c r="AI480" s="38">
        <v>0</v>
      </c>
      <c r="AJ480" s="38">
        <v>0</v>
      </c>
    </row>
    <row r="481" spans="1:36">
      <c r="A481" t="s">
        <v>112</v>
      </c>
      <c r="B481" t="s">
        <v>309</v>
      </c>
      <c r="C481" s="2" t="s">
        <v>111</v>
      </c>
      <c r="D481" s="5" t="s">
        <v>39</v>
      </c>
      <c r="E481" s="40">
        <v>79000</v>
      </c>
      <c r="F481" s="40">
        <v>79000</v>
      </c>
      <c r="G481" s="40">
        <v>79000</v>
      </c>
      <c r="H481" s="40">
        <v>79000</v>
      </c>
      <c r="I481" s="41">
        <v>91.9</v>
      </c>
      <c r="J481" s="41">
        <v>91.9</v>
      </c>
      <c r="K481" s="41">
        <v>103.48</v>
      </c>
      <c r="L481" s="41">
        <v>103.48</v>
      </c>
      <c r="M481" s="38">
        <v>400</v>
      </c>
      <c r="N481" s="38">
        <v>400</v>
      </c>
      <c r="O481" s="38">
        <v>400</v>
      </c>
      <c r="P481" s="38">
        <v>400</v>
      </c>
      <c r="Q481" s="38">
        <v>120</v>
      </c>
      <c r="R481" s="38">
        <v>120</v>
      </c>
      <c r="S481" s="38">
        <v>120</v>
      </c>
      <c r="T481" s="38">
        <v>120</v>
      </c>
      <c r="U481" s="38">
        <v>120</v>
      </c>
      <c r="V481" s="38">
        <v>120</v>
      </c>
      <c r="W481" s="38">
        <v>120</v>
      </c>
      <c r="X481" s="38">
        <v>120</v>
      </c>
      <c r="Y481" s="38">
        <v>500</v>
      </c>
      <c r="Z481" s="38">
        <v>500</v>
      </c>
      <c r="AA481" s="38">
        <v>500</v>
      </c>
      <c r="AB481" s="38">
        <v>500</v>
      </c>
      <c r="AC481" s="38">
        <v>2</v>
      </c>
      <c r="AD481" s="38">
        <v>4</v>
      </c>
      <c r="AE481" s="38">
        <v>8</v>
      </c>
      <c r="AF481" s="38">
        <v>8</v>
      </c>
      <c r="AG481" s="38">
        <v>0</v>
      </c>
      <c r="AH481" s="38">
        <v>0</v>
      </c>
      <c r="AI481" s="38">
        <v>0</v>
      </c>
      <c r="AJ481" s="38">
        <v>0</v>
      </c>
    </row>
    <row r="482" spans="1:36">
      <c r="A482" t="s">
        <v>112</v>
      </c>
      <c r="B482" t="s">
        <v>309</v>
      </c>
      <c r="C482" s="2" t="s">
        <v>111</v>
      </c>
      <c r="D482" s="5" t="s">
        <v>39</v>
      </c>
      <c r="E482" s="40">
        <v>80000</v>
      </c>
      <c r="F482" s="40">
        <v>80000</v>
      </c>
      <c r="G482" s="40">
        <v>80000</v>
      </c>
      <c r="H482" s="40">
        <v>80000</v>
      </c>
      <c r="I482" s="41">
        <v>91.88</v>
      </c>
      <c r="J482" s="41">
        <v>91.88</v>
      </c>
      <c r="K482" s="41">
        <v>103.44</v>
      </c>
      <c r="L482" s="41">
        <v>103.44</v>
      </c>
      <c r="M482" s="38">
        <v>400</v>
      </c>
      <c r="N482" s="38">
        <v>400</v>
      </c>
      <c r="O482" s="38">
        <v>400</v>
      </c>
      <c r="P482" s="38">
        <v>400</v>
      </c>
      <c r="Q482" s="38">
        <v>120</v>
      </c>
      <c r="R482" s="38">
        <v>120</v>
      </c>
      <c r="S482" s="38">
        <v>120</v>
      </c>
      <c r="T482" s="38">
        <v>120</v>
      </c>
      <c r="U482" s="38">
        <v>120</v>
      </c>
      <c r="V482" s="38">
        <v>120</v>
      </c>
      <c r="W482" s="38">
        <v>120</v>
      </c>
      <c r="X482" s="38">
        <v>120</v>
      </c>
      <c r="Y482" s="38">
        <v>500</v>
      </c>
      <c r="Z482" s="38">
        <v>500</v>
      </c>
      <c r="AA482" s="38">
        <v>500</v>
      </c>
      <c r="AB482" s="38">
        <v>500</v>
      </c>
      <c r="AC482" s="38">
        <v>2</v>
      </c>
      <c r="AD482" s="38">
        <v>4</v>
      </c>
      <c r="AE482" s="38">
        <v>8</v>
      </c>
      <c r="AF482" s="38">
        <v>8</v>
      </c>
      <c r="AG482" s="38">
        <v>0</v>
      </c>
      <c r="AH482" s="38">
        <v>0</v>
      </c>
      <c r="AI482" s="38">
        <v>0</v>
      </c>
      <c r="AJ482" s="38">
        <v>0</v>
      </c>
    </row>
    <row r="483" spans="1:36">
      <c r="A483" t="s">
        <v>112</v>
      </c>
      <c r="B483" t="s">
        <v>309</v>
      </c>
      <c r="C483" s="2" t="s">
        <v>111</v>
      </c>
      <c r="D483" s="5" t="s">
        <v>39</v>
      </c>
      <c r="E483" s="40">
        <v>81000</v>
      </c>
      <c r="F483" s="40">
        <v>81000</v>
      </c>
      <c r="G483" s="40">
        <v>81000</v>
      </c>
      <c r="H483" s="40">
        <v>81000</v>
      </c>
      <c r="I483" s="41">
        <v>91.85</v>
      </c>
      <c r="J483" s="41">
        <v>91.85</v>
      </c>
      <c r="K483" s="41">
        <v>103.4</v>
      </c>
      <c r="L483" s="41">
        <v>103.4</v>
      </c>
      <c r="M483" s="38">
        <v>400</v>
      </c>
      <c r="N483" s="38">
        <v>400</v>
      </c>
      <c r="O483" s="38">
        <v>400</v>
      </c>
      <c r="P483" s="38">
        <v>400</v>
      </c>
      <c r="Q483" s="38">
        <v>120</v>
      </c>
      <c r="R483" s="38">
        <v>120</v>
      </c>
      <c r="S483" s="38">
        <v>120</v>
      </c>
      <c r="T483" s="38">
        <v>120</v>
      </c>
      <c r="U483" s="38">
        <v>120</v>
      </c>
      <c r="V483" s="38">
        <v>120</v>
      </c>
      <c r="W483" s="38">
        <v>120</v>
      </c>
      <c r="X483" s="38">
        <v>120</v>
      </c>
      <c r="Y483" s="38">
        <v>500</v>
      </c>
      <c r="Z483" s="38">
        <v>500</v>
      </c>
      <c r="AA483" s="38">
        <v>500</v>
      </c>
      <c r="AB483" s="38">
        <v>500</v>
      </c>
      <c r="AC483" s="38">
        <v>2</v>
      </c>
      <c r="AD483" s="38">
        <v>4</v>
      </c>
      <c r="AE483" s="38">
        <v>8</v>
      </c>
      <c r="AF483" s="38">
        <v>8</v>
      </c>
      <c r="AG483" s="38">
        <v>0</v>
      </c>
      <c r="AH483" s="38">
        <v>0</v>
      </c>
      <c r="AI483" s="38">
        <v>0</v>
      </c>
      <c r="AJ483" s="38">
        <v>0</v>
      </c>
    </row>
    <row r="484" spans="1:36">
      <c r="A484" t="s">
        <v>112</v>
      </c>
      <c r="B484" t="s">
        <v>309</v>
      </c>
      <c r="C484" s="2" t="s">
        <v>111</v>
      </c>
      <c r="D484" s="5" t="s">
        <v>39</v>
      </c>
      <c r="E484" s="40">
        <v>82000</v>
      </c>
      <c r="F484" s="40">
        <v>82000</v>
      </c>
      <c r="G484" s="40">
        <v>82000</v>
      </c>
      <c r="H484" s="40">
        <v>82000</v>
      </c>
      <c r="I484" s="41">
        <v>91.83</v>
      </c>
      <c r="J484" s="41">
        <v>91.83</v>
      </c>
      <c r="K484" s="41">
        <v>103.35</v>
      </c>
      <c r="L484" s="41">
        <v>103.35</v>
      </c>
      <c r="M484" s="38">
        <v>400</v>
      </c>
      <c r="N484" s="38">
        <v>400</v>
      </c>
      <c r="O484" s="38">
        <v>400</v>
      </c>
      <c r="P484" s="38">
        <v>400</v>
      </c>
      <c r="Q484" s="38">
        <v>120</v>
      </c>
      <c r="R484" s="38">
        <v>120</v>
      </c>
      <c r="S484" s="38">
        <v>120</v>
      </c>
      <c r="T484" s="38">
        <v>120</v>
      </c>
      <c r="U484" s="38">
        <v>120</v>
      </c>
      <c r="V484" s="38">
        <v>120</v>
      </c>
      <c r="W484" s="38">
        <v>120</v>
      </c>
      <c r="X484" s="38">
        <v>120</v>
      </c>
      <c r="Y484" s="38">
        <v>500</v>
      </c>
      <c r="Z484" s="38">
        <v>500</v>
      </c>
      <c r="AA484" s="38">
        <v>500</v>
      </c>
      <c r="AB484" s="38">
        <v>500</v>
      </c>
      <c r="AC484" s="38">
        <v>2</v>
      </c>
      <c r="AD484" s="38">
        <v>4</v>
      </c>
      <c r="AE484" s="38">
        <v>8</v>
      </c>
      <c r="AF484" s="38">
        <v>8</v>
      </c>
      <c r="AG484" s="38">
        <v>0</v>
      </c>
      <c r="AH484" s="38">
        <v>0</v>
      </c>
      <c r="AI484" s="38">
        <v>0</v>
      </c>
      <c r="AJ484" s="38">
        <v>0</v>
      </c>
    </row>
    <row r="485" spans="1:36">
      <c r="A485" t="s">
        <v>112</v>
      </c>
      <c r="B485" t="s">
        <v>309</v>
      </c>
      <c r="C485" s="2" t="s">
        <v>111</v>
      </c>
      <c r="D485" s="5" t="s">
        <v>39</v>
      </c>
      <c r="E485" s="40">
        <v>83000</v>
      </c>
      <c r="F485" s="40">
        <v>83000</v>
      </c>
      <c r="G485" s="40">
        <v>83000</v>
      </c>
      <c r="H485" s="40">
        <v>83000</v>
      </c>
      <c r="I485" s="41">
        <v>91.81</v>
      </c>
      <c r="J485" s="41">
        <v>91.81</v>
      </c>
      <c r="K485" s="41">
        <v>103.31</v>
      </c>
      <c r="L485" s="41">
        <v>103.31</v>
      </c>
      <c r="M485" s="38">
        <v>400</v>
      </c>
      <c r="N485" s="38">
        <v>400</v>
      </c>
      <c r="O485" s="38">
        <v>400</v>
      </c>
      <c r="P485" s="38">
        <v>400</v>
      </c>
      <c r="Q485" s="38">
        <v>120</v>
      </c>
      <c r="R485" s="38">
        <v>120</v>
      </c>
      <c r="S485" s="38">
        <v>120</v>
      </c>
      <c r="T485" s="38">
        <v>120</v>
      </c>
      <c r="U485" s="38">
        <v>120</v>
      </c>
      <c r="V485" s="38">
        <v>120</v>
      </c>
      <c r="W485" s="38">
        <v>120</v>
      </c>
      <c r="X485" s="38">
        <v>120</v>
      </c>
      <c r="Y485" s="38">
        <v>500</v>
      </c>
      <c r="Z485" s="38">
        <v>500</v>
      </c>
      <c r="AA485" s="38">
        <v>500</v>
      </c>
      <c r="AB485" s="38">
        <v>500</v>
      </c>
      <c r="AC485" s="38">
        <v>2</v>
      </c>
      <c r="AD485" s="38">
        <v>4</v>
      </c>
      <c r="AE485" s="38">
        <v>8</v>
      </c>
      <c r="AF485" s="38">
        <v>8</v>
      </c>
      <c r="AG485" s="38">
        <v>0</v>
      </c>
      <c r="AH485" s="38">
        <v>0</v>
      </c>
      <c r="AI485" s="38">
        <v>0</v>
      </c>
      <c r="AJ485" s="38">
        <v>0</v>
      </c>
    </row>
    <row r="486" spans="1:36">
      <c r="A486" t="s">
        <v>112</v>
      </c>
      <c r="B486" t="s">
        <v>309</v>
      </c>
      <c r="C486" s="2" t="s">
        <v>111</v>
      </c>
      <c r="D486" s="5" t="s">
        <v>39</v>
      </c>
      <c r="E486" s="40">
        <v>84000</v>
      </c>
      <c r="F486" s="40">
        <v>84000</v>
      </c>
      <c r="G486" s="40">
        <v>84000</v>
      </c>
      <c r="H486" s="40">
        <v>84000</v>
      </c>
      <c r="I486" s="41">
        <v>91.79</v>
      </c>
      <c r="J486" s="41">
        <v>91.79</v>
      </c>
      <c r="K486" s="41">
        <v>103.27</v>
      </c>
      <c r="L486" s="41">
        <v>103.27</v>
      </c>
      <c r="M486" s="38">
        <v>400</v>
      </c>
      <c r="N486" s="38">
        <v>400</v>
      </c>
      <c r="O486" s="38">
        <v>400</v>
      </c>
      <c r="P486" s="38">
        <v>400</v>
      </c>
      <c r="Q486" s="38">
        <v>120</v>
      </c>
      <c r="R486" s="38">
        <v>120</v>
      </c>
      <c r="S486" s="38">
        <v>120</v>
      </c>
      <c r="T486" s="38">
        <v>120</v>
      </c>
      <c r="U486" s="38">
        <v>120</v>
      </c>
      <c r="V486" s="38">
        <v>120</v>
      </c>
      <c r="W486" s="38">
        <v>120</v>
      </c>
      <c r="X486" s="38">
        <v>120</v>
      </c>
      <c r="Y486" s="38">
        <v>500</v>
      </c>
      <c r="Z486" s="38">
        <v>500</v>
      </c>
      <c r="AA486" s="38">
        <v>500</v>
      </c>
      <c r="AB486" s="38">
        <v>500</v>
      </c>
      <c r="AC486" s="38">
        <v>2</v>
      </c>
      <c r="AD486" s="38">
        <v>4</v>
      </c>
      <c r="AE486" s="38">
        <v>8</v>
      </c>
      <c r="AF486" s="38">
        <v>8</v>
      </c>
      <c r="AG486" s="38">
        <v>0</v>
      </c>
      <c r="AH486" s="38">
        <v>0</v>
      </c>
      <c r="AI486" s="38">
        <v>0</v>
      </c>
      <c r="AJ486" s="38">
        <v>0</v>
      </c>
    </row>
    <row r="487" spans="1:36">
      <c r="A487" t="s">
        <v>112</v>
      </c>
      <c r="B487" t="s">
        <v>309</v>
      </c>
      <c r="C487" s="2" t="s">
        <v>111</v>
      </c>
      <c r="D487" s="5" t="s">
        <v>39</v>
      </c>
      <c r="E487" s="40">
        <v>85000</v>
      </c>
      <c r="F487" s="40">
        <v>85000</v>
      </c>
      <c r="G487" s="40">
        <v>85000</v>
      </c>
      <c r="H487" s="40">
        <v>85000</v>
      </c>
      <c r="I487" s="41">
        <v>91.76</v>
      </c>
      <c r="J487" s="41">
        <v>91.76</v>
      </c>
      <c r="K487" s="41">
        <v>103.24</v>
      </c>
      <c r="L487" s="41">
        <v>103.24</v>
      </c>
      <c r="M487" s="38">
        <v>400</v>
      </c>
      <c r="N487" s="38">
        <v>400</v>
      </c>
      <c r="O487" s="38">
        <v>400</v>
      </c>
      <c r="P487" s="38">
        <v>400</v>
      </c>
      <c r="Q487" s="38">
        <v>120</v>
      </c>
      <c r="R487" s="38">
        <v>120</v>
      </c>
      <c r="S487" s="38">
        <v>120</v>
      </c>
      <c r="T487" s="38">
        <v>120</v>
      </c>
      <c r="U487" s="38">
        <v>120</v>
      </c>
      <c r="V487" s="38">
        <v>120</v>
      </c>
      <c r="W487" s="38">
        <v>120</v>
      </c>
      <c r="X487" s="38">
        <v>120</v>
      </c>
      <c r="Y487" s="38">
        <v>500</v>
      </c>
      <c r="Z487" s="38">
        <v>500</v>
      </c>
      <c r="AA487" s="38">
        <v>500</v>
      </c>
      <c r="AB487" s="38">
        <v>500</v>
      </c>
      <c r="AC487" s="38">
        <v>2</v>
      </c>
      <c r="AD487" s="38">
        <v>4</v>
      </c>
      <c r="AE487" s="38">
        <v>8</v>
      </c>
      <c r="AF487" s="38">
        <v>8</v>
      </c>
      <c r="AG487" s="38">
        <v>0</v>
      </c>
      <c r="AH487" s="38">
        <v>0</v>
      </c>
      <c r="AI487" s="38">
        <v>0</v>
      </c>
      <c r="AJ487" s="38">
        <v>0</v>
      </c>
    </row>
    <row r="488" spans="1:36">
      <c r="A488" t="s">
        <v>112</v>
      </c>
      <c r="B488" t="s">
        <v>309</v>
      </c>
      <c r="C488" s="2" t="s">
        <v>111</v>
      </c>
      <c r="D488" s="5" t="s">
        <v>39</v>
      </c>
      <c r="E488" s="40">
        <v>86000</v>
      </c>
      <c r="F488" s="40">
        <v>86000</v>
      </c>
      <c r="G488" s="40">
        <v>86000</v>
      </c>
      <c r="H488" s="40">
        <v>86000</v>
      </c>
      <c r="I488" s="41">
        <v>91.74</v>
      </c>
      <c r="J488" s="41">
        <v>91.74</v>
      </c>
      <c r="K488" s="41">
        <v>103.2</v>
      </c>
      <c r="L488" s="41">
        <v>103.2</v>
      </c>
      <c r="M488" s="38">
        <v>400</v>
      </c>
      <c r="N488" s="38">
        <v>400</v>
      </c>
      <c r="O488" s="38">
        <v>400</v>
      </c>
      <c r="P488" s="38">
        <v>400</v>
      </c>
      <c r="Q488" s="38">
        <v>120</v>
      </c>
      <c r="R488" s="38">
        <v>120</v>
      </c>
      <c r="S488" s="38">
        <v>120</v>
      </c>
      <c r="T488" s="38">
        <v>120</v>
      </c>
      <c r="U488" s="38">
        <v>120</v>
      </c>
      <c r="V488" s="38">
        <v>120</v>
      </c>
      <c r="W488" s="38">
        <v>120</v>
      </c>
      <c r="X488" s="38">
        <v>120</v>
      </c>
      <c r="Y488" s="38">
        <v>500</v>
      </c>
      <c r="Z488" s="38">
        <v>500</v>
      </c>
      <c r="AA488" s="38">
        <v>500</v>
      </c>
      <c r="AB488" s="38">
        <v>500</v>
      </c>
      <c r="AC488" s="38">
        <v>2</v>
      </c>
      <c r="AD488" s="38">
        <v>4</v>
      </c>
      <c r="AE488" s="38">
        <v>8</v>
      </c>
      <c r="AF488" s="38">
        <v>8</v>
      </c>
      <c r="AG488" s="38">
        <v>0</v>
      </c>
      <c r="AH488" s="38">
        <v>0</v>
      </c>
      <c r="AI488" s="38">
        <v>0</v>
      </c>
      <c r="AJ488" s="38">
        <v>0</v>
      </c>
    </row>
    <row r="489" spans="1:36">
      <c r="A489" t="s">
        <v>112</v>
      </c>
      <c r="B489" t="s">
        <v>309</v>
      </c>
      <c r="C489" s="2" t="s">
        <v>111</v>
      </c>
      <c r="D489" s="5" t="s">
        <v>39</v>
      </c>
      <c r="E489" s="40">
        <v>87000</v>
      </c>
      <c r="F489" s="40">
        <v>87000</v>
      </c>
      <c r="G489" s="40">
        <v>87000</v>
      </c>
      <c r="H489" s="40">
        <v>87000</v>
      </c>
      <c r="I489" s="41">
        <v>91.72</v>
      </c>
      <c r="J489" s="41">
        <v>91.72</v>
      </c>
      <c r="K489" s="41">
        <v>103.16</v>
      </c>
      <c r="L489" s="41">
        <v>103.16</v>
      </c>
      <c r="M489" s="38">
        <v>400</v>
      </c>
      <c r="N489" s="38">
        <v>400</v>
      </c>
      <c r="O489" s="38">
        <v>400</v>
      </c>
      <c r="P489" s="38">
        <v>400</v>
      </c>
      <c r="Q489" s="38">
        <v>120</v>
      </c>
      <c r="R489" s="38">
        <v>120</v>
      </c>
      <c r="S489" s="38">
        <v>120</v>
      </c>
      <c r="T489" s="38">
        <v>120</v>
      </c>
      <c r="U489" s="38">
        <v>120</v>
      </c>
      <c r="V489" s="38">
        <v>120</v>
      </c>
      <c r="W489" s="38">
        <v>120</v>
      </c>
      <c r="X489" s="38">
        <v>120</v>
      </c>
      <c r="Y489" s="38">
        <v>500</v>
      </c>
      <c r="Z489" s="38">
        <v>500</v>
      </c>
      <c r="AA489" s="38">
        <v>500</v>
      </c>
      <c r="AB489" s="38">
        <v>500</v>
      </c>
      <c r="AC489" s="38">
        <v>2</v>
      </c>
      <c r="AD489" s="38">
        <v>4</v>
      </c>
      <c r="AE489" s="38">
        <v>8</v>
      </c>
      <c r="AF489" s="38">
        <v>8</v>
      </c>
      <c r="AG489" s="38">
        <v>0</v>
      </c>
      <c r="AH489" s="38">
        <v>0</v>
      </c>
      <c r="AI489" s="38">
        <v>0</v>
      </c>
      <c r="AJ489" s="38">
        <v>0</v>
      </c>
    </row>
    <row r="490" spans="1:36">
      <c r="A490" t="s">
        <v>112</v>
      </c>
      <c r="B490" t="s">
        <v>309</v>
      </c>
      <c r="C490" s="2" t="s">
        <v>111</v>
      </c>
      <c r="D490" s="5" t="s">
        <v>39</v>
      </c>
      <c r="E490" s="40">
        <v>88000</v>
      </c>
      <c r="F490" s="40">
        <v>88000</v>
      </c>
      <c r="G490" s="40">
        <v>88000</v>
      </c>
      <c r="H490" s="40">
        <v>88000</v>
      </c>
      <c r="I490" s="41">
        <v>91.7</v>
      </c>
      <c r="J490" s="41">
        <v>91.7</v>
      </c>
      <c r="K490" s="41">
        <v>103.13</v>
      </c>
      <c r="L490" s="41">
        <v>103.13</v>
      </c>
      <c r="M490" s="38">
        <v>400</v>
      </c>
      <c r="N490" s="38">
        <v>400</v>
      </c>
      <c r="O490" s="38">
        <v>400</v>
      </c>
      <c r="P490" s="38">
        <v>400</v>
      </c>
      <c r="Q490" s="38">
        <v>120</v>
      </c>
      <c r="R490" s="38">
        <v>120</v>
      </c>
      <c r="S490" s="38">
        <v>120</v>
      </c>
      <c r="T490" s="38">
        <v>120</v>
      </c>
      <c r="U490" s="38">
        <v>120</v>
      </c>
      <c r="V490" s="38">
        <v>120</v>
      </c>
      <c r="W490" s="38">
        <v>120</v>
      </c>
      <c r="X490" s="38">
        <v>120</v>
      </c>
      <c r="Y490" s="38">
        <v>500</v>
      </c>
      <c r="Z490" s="38">
        <v>500</v>
      </c>
      <c r="AA490" s="38">
        <v>500</v>
      </c>
      <c r="AB490" s="38">
        <v>500</v>
      </c>
      <c r="AC490" s="38">
        <v>2</v>
      </c>
      <c r="AD490" s="38">
        <v>4</v>
      </c>
      <c r="AE490" s="38">
        <v>8</v>
      </c>
      <c r="AF490" s="38">
        <v>8</v>
      </c>
      <c r="AG490" s="38">
        <v>0</v>
      </c>
      <c r="AH490" s="38">
        <v>0</v>
      </c>
      <c r="AI490" s="38">
        <v>0</v>
      </c>
      <c r="AJ490" s="38">
        <v>0</v>
      </c>
    </row>
    <row r="491" spans="1:36">
      <c r="A491" t="s">
        <v>112</v>
      </c>
      <c r="B491" t="s">
        <v>309</v>
      </c>
      <c r="C491" s="2" t="s">
        <v>111</v>
      </c>
      <c r="D491" s="5" t="s">
        <v>39</v>
      </c>
      <c r="E491" s="40">
        <v>89000</v>
      </c>
      <c r="F491" s="40">
        <v>89000</v>
      </c>
      <c r="G491" s="40">
        <v>89000</v>
      </c>
      <c r="H491" s="40">
        <v>89000</v>
      </c>
      <c r="I491" s="41">
        <v>91.69</v>
      </c>
      <c r="J491" s="41">
        <v>91.69</v>
      </c>
      <c r="K491" s="41">
        <v>103.09</v>
      </c>
      <c r="L491" s="41">
        <v>103.09</v>
      </c>
      <c r="M491" s="38">
        <v>400</v>
      </c>
      <c r="N491" s="38">
        <v>400</v>
      </c>
      <c r="O491" s="38">
        <v>400</v>
      </c>
      <c r="P491" s="38">
        <v>400</v>
      </c>
      <c r="Q491" s="38">
        <v>120</v>
      </c>
      <c r="R491" s="38">
        <v>120</v>
      </c>
      <c r="S491" s="38">
        <v>120</v>
      </c>
      <c r="T491" s="38">
        <v>120</v>
      </c>
      <c r="U491" s="38">
        <v>120</v>
      </c>
      <c r="V491" s="38">
        <v>120</v>
      </c>
      <c r="W491" s="38">
        <v>120</v>
      </c>
      <c r="X491" s="38">
        <v>120</v>
      </c>
      <c r="Y491" s="38">
        <v>500</v>
      </c>
      <c r="Z491" s="38">
        <v>500</v>
      </c>
      <c r="AA491" s="38">
        <v>500</v>
      </c>
      <c r="AB491" s="38">
        <v>500</v>
      </c>
      <c r="AC491" s="38">
        <v>2</v>
      </c>
      <c r="AD491" s="38">
        <v>4</v>
      </c>
      <c r="AE491" s="38">
        <v>8</v>
      </c>
      <c r="AF491" s="38">
        <v>8</v>
      </c>
      <c r="AG491" s="38">
        <v>0</v>
      </c>
      <c r="AH491" s="38">
        <v>0</v>
      </c>
      <c r="AI491" s="38">
        <v>0</v>
      </c>
      <c r="AJ491" s="38">
        <v>0</v>
      </c>
    </row>
    <row r="492" spans="1:36">
      <c r="A492" t="s">
        <v>112</v>
      </c>
      <c r="B492" t="s">
        <v>309</v>
      </c>
      <c r="C492" s="2" t="s">
        <v>111</v>
      </c>
      <c r="D492" s="5" t="s">
        <v>39</v>
      </c>
      <c r="E492" s="40">
        <v>90000</v>
      </c>
      <c r="F492" s="40">
        <v>90000</v>
      </c>
      <c r="G492" s="40">
        <v>90000</v>
      </c>
      <c r="H492" s="40">
        <v>90000</v>
      </c>
      <c r="I492" s="41">
        <v>91.67</v>
      </c>
      <c r="J492" s="41">
        <v>91.67</v>
      </c>
      <c r="K492" s="41">
        <v>103.06</v>
      </c>
      <c r="L492" s="41">
        <v>103.06</v>
      </c>
      <c r="M492" s="38">
        <v>400</v>
      </c>
      <c r="N492" s="38">
        <v>400</v>
      </c>
      <c r="O492" s="38">
        <v>400</v>
      </c>
      <c r="P492" s="38">
        <v>400</v>
      </c>
      <c r="Q492" s="38">
        <v>120</v>
      </c>
      <c r="R492" s="38">
        <v>120</v>
      </c>
      <c r="S492" s="38">
        <v>120</v>
      </c>
      <c r="T492" s="38">
        <v>120</v>
      </c>
      <c r="U492" s="38">
        <v>120</v>
      </c>
      <c r="V492" s="38">
        <v>120</v>
      </c>
      <c r="W492" s="38">
        <v>120</v>
      </c>
      <c r="X492" s="38">
        <v>120</v>
      </c>
      <c r="Y492" s="38">
        <v>500</v>
      </c>
      <c r="Z492" s="38">
        <v>500</v>
      </c>
      <c r="AA492" s="38">
        <v>500</v>
      </c>
      <c r="AB492" s="38">
        <v>500</v>
      </c>
      <c r="AC492" s="38">
        <v>2</v>
      </c>
      <c r="AD492" s="38">
        <v>4</v>
      </c>
      <c r="AE492" s="38">
        <v>8</v>
      </c>
      <c r="AF492" s="38">
        <v>8</v>
      </c>
      <c r="AG492" s="38">
        <v>0</v>
      </c>
      <c r="AH492" s="38">
        <v>0</v>
      </c>
      <c r="AI492" s="38">
        <v>0</v>
      </c>
      <c r="AJ492" s="38">
        <v>0</v>
      </c>
    </row>
    <row r="493" spans="1:36">
      <c r="A493" t="s">
        <v>112</v>
      </c>
      <c r="B493" t="s">
        <v>309</v>
      </c>
      <c r="C493" s="2" t="s">
        <v>111</v>
      </c>
      <c r="D493" s="5" t="s">
        <v>39</v>
      </c>
      <c r="E493" s="40">
        <v>91000</v>
      </c>
      <c r="F493" s="40">
        <v>91000</v>
      </c>
      <c r="G493" s="40">
        <v>91000</v>
      </c>
      <c r="H493" s="40">
        <v>91000</v>
      </c>
      <c r="I493" s="41">
        <v>91.65</v>
      </c>
      <c r="J493" s="41">
        <v>91.65</v>
      </c>
      <c r="K493" s="41">
        <v>103.02</v>
      </c>
      <c r="L493" s="41">
        <v>103.02</v>
      </c>
      <c r="M493" s="38">
        <v>400</v>
      </c>
      <c r="N493" s="38">
        <v>400</v>
      </c>
      <c r="O493" s="38">
        <v>400</v>
      </c>
      <c r="P493" s="38">
        <v>400</v>
      </c>
      <c r="Q493" s="38">
        <v>120</v>
      </c>
      <c r="R493" s="38">
        <v>120</v>
      </c>
      <c r="S493" s="38">
        <v>120</v>
      </c>
      <c r="T493" s="38">
        <v>120</v>
      </c>
      <c r="U493" s="38">
        <v>120</v>
      </c>
      <c r="V493" s="38">
        <v>120</v>
      </c>
      <c r="W493" s="38">
        <v>120</v>
      </c>
      <c r="X493" s="38">
        <v>120</v>
      </c>
      <c r="Y493" s="38">
        <v>500</v>
      </c>
      <c r="Z493" s="38">
        <v>500</v>
      </c>
      <c r="AA493" s="38">
        <v>500</v>
      </c>
      <c r="AB493" s="38">
        <v>500</v>
      </c>
      <c r="AC493" s="38">
        <v>2</v>
      </c>
      <c r="AD493" s="38">
        <v>4</v>
      </c>
      <c r="AE493" s="38">
        <v>8</v>
      </c>
      <c r="AF493" s="38">
        <v>8</v>
      </c>
      <c r="AG493" s="38">
        <v>0</v>
      </c>
      <c r="AH493" s="38">
        <v>0</v>
      </c>
      <c r="AI493" s="38">
        <v>0</v>
      </c>
      <c r="AJ493" s="38">
        <v>0</v>
      </c>
    </row>
    <row r="494" spans="1:36">
      <c r="A494" t="s">
        <v>112</v>
      </c>
      <c r="B494" t="s">
        <v>309</v>
      </c>
      <c r="C494" s="2" t="s">
        <v>111</v>
      </c>
      <c r="D494" s="5" t="s">
        <v>39</v>
      </c>
      <c r="E494" s="40">
        <v>92000</v>
      </c>
      <c r="F494" s="40">
        <v>92000</v>
      </c>
      <c r="G494" s="40">
        <v>92000</v>
      </c>
      <c r="H494" s="40">
        <v>92000</v>
      </c>
      <c r="I494" s="41">
        <v>91.63</v>
      </c>
      <c r="J494" s="41">
        <v>91.63</v>
      </c>
      <c r="K494" s="41">
        <v>102.99</v>
      </c>
      <c r="L494" s="41">
        <v>102.99</v>
      </c>
      <c r="M494" s="38">
        <v>400</v>
      </c>
      <c r="N494" s="38">
        <v>400</v>
      </c>
      <c r="O494" s="38">
        <v>400</v>
      </c>
      <c r="P494" s="38">
        <v>400</v>
      </c>
      <c r="Q494" s="38">
        <v>120</v>
      </c>
      <c r="R494" s="38">
        <v>120</v>
      </c>
      <c r="S494" s="38">
        <v>120</v>
      </c>
      <c r="T494" s="38">
        <v>120</v>
      </c>
      <c r="U494" s="38">
        <v>120</v>
      </c>
      <c r="V494" s="38">
        <v>120</v>
      </c>
      <c r="W494" s="38">
        <v>120</v>
      </c>
      <c r="X494" s="38">
        <v>120</v>
      </c>
      <c r="Y494" s="38">
        <v>500</v>
      </c>
      <c r="Z494" s="38">
        <v>500</v>
      </c>
      <c r="AA494" s="38">
        <v>500</v>
      </c>
      <c r="AB494" s="38">
        <v>500</v>
      </c>
      <c r="AC494" s="38">
        <v>2</v>
      </c>
      <c r="AD494" s="38">
        <v>4</v>
      </c>
      <c r="AE494" s="38">
        <v>8</v>
      </c>
      <c r="AF494" s="38">
        <v>8</v>
      </c>
      <c r="AG494" s="38">
        <v>0</v>
      </c>
      <c r="AH494" s="38">
        <v>0</v>
      </c>
      <c r="AI494" s="38">
        <v>0</v>
      </c>
      <c r="AJ494" s="38">
        <v>0</v>
      </c>
    </row>
    <row r="495" spans="1:36">
      <c r="A495" t="s">
        <v>112</v>
      </c>
      <c r="B495" t="s">
        <v>309</v>
      </c>
      <c r="C495" s="2" t="s">
        <v>111</v>
      </c>
      <c r="D495" s="5" t="s">
        <v>39</v>
      </c>
      <c r="E495" s="40">
        <v>93000</v>
      </c>
      <c r="F495" s="40">
        <v>93000</v>
      </c>
      <c r="G495" s="40">
        <v>93000</v>
      </c>
      <c r="H495" s="40">
        <v>93000</v>
      </c>
      <c r="I495" s="41">
        <v>91.61</v>
      </c>
      <c r="J495" s="41">
        <v>91.61</v>
      </c>
      <c r="K495" s="41">
        <v>102.96</v>
      </c>
      <c r="L495" s="41">
        <v>102.96</v>
      </c>
      <c r="M495" s="38">
        <v>400</v>
      </c>
      <c r="N495" s="38">
        <v>400</v>
      </c>
      <c r="O495" s="38">
        <v>400</v>
      </c>
      <c r="P495" s="38">
        <v>400</v>
      </c>
      <c r="Q495" s="38">
        <v>120</v>
      </c>
      <c r="R495" s="38">
        <v>120</v>
      </c>
      <c r="S495" s="38">
        <v>120</v>
      </c>
      <c r="T495" s="38">
        <v>120</v>
      </c>
      <c r="U495" s="38">
        <v>120</v>
      </c>
      <c r="V495" s="38">
        <v>120</v>
      </c>
      <c r="W495" s="38">
        <v>120</v>
      </c>
      <c r="X495" s="38">
        <v>120</v>
      </c>
      <c r="Y495" s="38">
        <v>500</v>
      </c>
      <c r="Z495" s="38">
        <v>500</v>
      </c>
      <c r="AA495" s="38">
        <v>500</v>
      </c>
      <c r="AB495" s="38">
        <v>500</v>
      </c>
      <c r="AC495" s="38">
        <v>2</v>
      </c>
      <c r="AD495" s="38">
        <v>4</v>
      </c>
      <c r="AE495" s="38">
        <v>8</v>
      </c>
      <c r="AF495" s="38">
        <v>8</v>
      </c>
      <c r="AG495" s="38">
        <v>0</v>
      </c>
      <c r="AH495" s="38">
        <v>0</v>
      </c>
      <c r="AI495" s="38">
        <v>0</v>
      </c>
      <c r="AJ495" s="38">
        <v>0</v>
      </c>
    </row>
    <row r="496" spans="1:36">
      <c r="A496" t="s">
        <v>112</v>
      </c>
      <c r="B496" t="s">
        <v>309</v>
      </c>
      <c r="C496" s="2" t="s">
        <v>111</v>
      </c>
      <c r="D496" s="5" t="s">
        <v>39</v>
      </c>
      <c r="E496" s="40">
        <v>94000</v>
      </c>
      <c r="F496" s="40">
        <v>94000</v>
      </c>
      <c r="G496" s="40">
        <v>94000</v>
      </c>
      <c r="H496" s="40">
        <v>94000</v>
      </c>
      <c r="I496" s="41">
        <v>91.6</v>
      </c>
      <c r="J496" s="41">
        <v>91.6</v>
      </c>
      <c r="K496" s="41">
        <v>102.93</v>
      </c>
      <c r="L496" s="41">
        <v>102.93</v>
      </c>
      <c r="M496" s="38">
        <v>400</v>
      </c>
      <c r="N496" s="38">
        <v>400</v>
      </c>
      <c r="O496" s="38">
        <v>400</v>
      </c>
      <c r="P496" s="38">
        <v>400</v>
      </c>
      <c r="Q496" s="38">
        <v>120</v>
      </c>
      <c r="R496" s="38">
        <v>120</v>
      </c>
      <c r="S496" s="38">
        <v>120</v>
      </c>
      <c r="T496" s="38">
        <v>120</v>
      </c>
      <c r="U496" s="38">
        <v>120</v>
      </c>
      <c r="V496" s="38">
        <v>120</v>
      </c>
      <c r="W496" s="38">
        <v>120</v>
      </c>
      <c r="X496" s="38">
        <v>120</v>
      </c>
      <c r="Y496" s="38">
        <v>500</v>
      </c>
      <c r="Z496" s="38">
        <v>500</v>
      </c>
      <c r="AA496" s="38">
        <v>500</v>
      </c>
      <c r="AB496" s="38">
        <v>500</v>
      </c>
      <c r="AC496" s="38">
        <v>2</v>
      </c>
      <c r="AD496" s="38">
        <v>4</v>
      </c>
      <c r="AE496" s="38">
        <v>8</v>
      </c>
      <c r="AF496" s="38">
        <v>8</v>
      </c>
      <c r="AG496" s="38">
        <v>0</v>
      </c>
      <c r="AH496" s="38">
        <v>0</v>
      </c>
      <c r="AI496" s="38">
        <v>0</v>
      </c>
      <c r="AJ496" s="38">
        <v>0</v>
      </c>
    </row>
    <row r="497" spans="1:36">
      <c r="A497" t="s">
        <v>112</v>
      </c>
      <c r="B497" t="s">
        <v>309</v>
      </c>
      <c r="C497" s="2" t="s">
        <v>111</v>
      </c>
      <c r="D497" s="5" t="s">
        <v>39</v>
      </c>
      <c r="E497" s="40">
        <v>95000</v>
      </c>
      <c r="F497" s="40">
        <v>95000</v>
      </c>
      <c r="G497" s="40">
        <v>95000</v>
      </c>
      <c r="H497" s="40">
        <v>95000</v>
      </c>
      <c r="I497" s="41">
        <v>91.58</v>
      </c>
      <c r="J497" s="41">
        <v>91.58</v>
      </c>
      <c r="K497" s="41">
        <v>102.89</v>
      </c>
      <c r="L497" s="41">
        <v>102.89</v>
      </c>
      <c r="M497" s="38">
        <v>400</v>
      </c>
      <c r="N497" s="38">
        <v>400</v>
      </c>
      <c r="O497" s="38">
        <v>400</v>
      </c>
      <c r="P497" s="38">
        <v>400</v>
      </c>
      <c r="Q497" s="38">
        <v>120</v>
      </c>
      <c r="R497" s="38">
        <v>120</v>
      </c>
      <c r="S497" s="38">
        <v>120</v>
      </c>
      <c r="T497" s="38">
        <v>120</v>
      </c>
      <c r="U497" s="38">
        <v>120</v>
      </c>
      <c r="V497" s="38">
        <v>120</v>
      </c>
      <c r="W497" s="38">
        <v>120</v>
      </c>
      <c r="X497" s="38">
        <v>120</v>
      </c>
      <c r="Y497" s="38">
        <v>500</v>
      </c>
      <c r="Z497" s="38">
        <v>500</v>
      </c>
      <c r="AA497" s="38">
        <v>500</v>
      </c>
      <c r="AB497" s="38">
        <v>500</v>
      </c>
      <c r="AC497" s="38">
        <v>2</v>
      </c>
      <c r="AD497" s="38">
        <v>4</v>
      </c>
      <c r="AE497" s="38">
        <v>8</v>
      </c>
      <c r="AF497" s="38">
        <v>8</v>
      </c>
      <c r="AG497" s="38">
        <v>0</v>
      </c>
      <c r="AH497" s="38">
        <v>0</v>
      </c>
      <c r="AI497" s="38">
        <v>0</v>
      </c>
      <c r="AJ497" s="38">
        <v>0</v>
      </c>
    </row>
    <row r="498" spans="1:36">
      <c r="A498" t="s">
        <v>112</v>
      </c>
      <c r="B498" t="s">
        <v>309</v>
      </c>
      <c r="C498" s="2" t="s">
        <v>111</v>
      </c>
      <c r="D498" s="5" t="s">
        <v>39</v>
      </c>
      <c r="E498" s="40">
        <v>96000</v>
      </c>
      <c r="F498" s="40">
        <v>96000</v>
      </c>
      <c r="G498" s="40">
        <v>96000</v>
      </c>
      <c r="H498" s="40">
        <v>96000</v>
      </c>
      <c r="I498" s="41">
        <v>91.56</v>
      </c>
      <c r="J498" s="41">
        <v>91.56</v>
      </c>
      <c r="K498" s="41">
        <v>102.86</v>
      </c>
      <c r="L498" s="41">
        <v>102.86</v>
      </c>
      <c r="M498" s="38">
        <v>400</v>
      </c>
      <c r="N498" s="38">
        <v>400</v>
      </c>
      <c r="O498" s="38">
        <v>400</v>
      </c>
      <c r="P498" s="38">
        <v>400</v>
      </c>
      <c r="Q498" s="38">
        <v>120</v>
      </c>
      <c r="R498" s="38">
        <v>120</v>
      </c>
      <c r="S498" s="38">
        <v>120</v>
      </c>
      <c r="T498" s="38">
        <v>120</v>
      </c>
      <c r="U498" s="38">
        <v>120</v>
      </c>
      <c r="V498" s="38">
        <v>120</v>
      </c>
      <c r="W498" s="38">
        <v>120</v>
      </c>
      <c r="X498" s="38">
        <v>120</v>
      </c>
      <c r="Y498" s="38">
        <v>500</v>
      </c>
      <c r="Z498" s="38">
        <v>500</v>
      </c>
      <c r="AA498" s="38">
        <v>500</v>
      </c>
      <c r="AB498" s="38">
        <v>500</v>
      </c>
      <c r="AC498" s="38">
        <v>2</v>
      </c>
      <c r="AD498" s="38">
        <v>4</v>
      </c>
      <c r="AE498" s="38">
        <v>8</v>
      </c>
      <c r="AF498" s="38">
        <v>8</v>
      </c>
      <c r="AG498" s="38">
        <v>0</v>
      </c>
      <c r="AH498" s="38">
        <v>0</v>
      </c>
      <c r="AI498" s="38">
        <v>0</v>
      </c>
      <c r="AJ498" s="38">
        <v>0</v>
      </c>
    </row>
    <row r="499" spans="1:36">
      <c r="A499" t="s">
        <v>112</v>
      </c>
      <c r="B499" t="s">
        <v>309</v>
      </c>
      <c r="C499" s="2" t="s">
        <v>111</v>
      </c>
      <c r="D499" s="5" t="s">
        <v>39</v>
      </c>
      <c r="E499" s="40">
        <v>97000</v>
      </c>
      <c r="F499" s="40">
        <v>97000</v>
      </c>
      <c r="G499" s="40">
        <v>97000</v>
      </c>
      <c r="H499" s="40">
        <v>97000</v>
      </c>
      <c r="I499" s="41">
        <v>91.55</v>
      </c>
      <c r="J499" s="41">
        <v>91.55</v>
      </c>
      <c r="K499" s="41">
        <v>102.84</v>
      </c>
      <c r="L499" s="41">
        <v>102.84</v>
      </c>
      <c r="M499" s="38">
        <v>400</v>
      </c>
      <c r="N499" s="38">
        <v>400</v>
      </c>
      <c r="O499" s="38">
        <v>400</v>
      </c>
      <c r="P499" s="38">
        <v>400</v>
      </c>
      <c r="Q499" s="38">
        <v>120</v>
      </c>
      <c r="R499" s="38">
        <v>120</v>
      </c>
      <c r="S499" s="38">
        <v>120</v>
      </c>
      <c r="T499" s="38">
        <v>120</v>
      </c>
      <c r="U499" s="38">
        <v>120</v>
      </c>
      <c r="V499" s="38">
        <v>120</v>
      </c>
      <c r="W499" s="38">
        <v>120</v>
      </c>
      <c r="X499" s="38">
        <v>120</v>
      </c>
      <c r="Y499" s="38">
        <v>500</v>
      </c>
      <c r="Z499" s="38">
        <v>500</v>
      </c>
      <c r="AA499" s="38">
        <v>500</v>
      </c>
      <c r="AB499" s="38">
        <v>500</v>
      </c>
      <c r="AC499" s="38">
        <v>2</v>
      </c>
      <c r="AD499" s="38">
        <v>4</v>
      </c>
      <c r="AE499" s="38">
        <v>8</v>
      </c>
      <c r="AF499" s="38">
        <v>8</v>
      </c>
      <c r="AG499" s="38">
        <v>0</v>
      </c>
      <c r="AH499" s="38">
        <v>0</v>
      </c>
      <c r="AI499" s="38">
        <v>0</v>
      </c>
      <c r="AJ499" s="38">
        <v>0</v>
      </c>
    </row>
    <row r="500" spans="1:36">
      <c r="A500" t="s">
        <v>112</v>
      </c>
      <c r="B500" t="s">
        <v>309</v>
      </c>
      <c r="C500" s="2" t="s">
        <v>111</v>
      </c>
      <c r="D500" s="5" t="s">
        <v>39</v>
      </c>
      <c r="E500" s="40">
        <v>98000</v>
      </c>
      <c r="F500" s="40">
        <v>98000</v>
      </c>
      <c r="G500" s="40">
        <v>98000</v>
      </c>
      <c r="H500" s="40">
        <v>98000</v>
      </c>
      <c r="I500" s="41">
        <v>91.53</v>
      </c>
      <c r="J500" s="41">
        <v>91.53</v>
      </c>
      <c r="K500" s="41">
        <v>102.81</v>
      </c>
      <c r="L500" s="41">
        <v>102.81</v>
      </c>
      <c r="M500" s="38">
        <v>400</v>
      </c>
      <c r="N500" s="38">
        <v>400</v>
      </c>
      <c r="O500" s="38">
        <v>400</v>
      </c>
      <c r="P500" s="38">
        <v>400</v>
      </c>
      <c r="Q500" s="38">
        <v>120</v>
      </c>
      <c r="R500" s="38">
        <v>120</v>
      </c>
      <c r="S500" s="38">
        <v>120</v>
      </c>
      <c r="T500" s="38">
        <v>120</v>
      </c>
      <c r="U500" s="38">
        <v>120</v>
      </c>
      <c r="V500" s="38">
        <v>120</v>
      </c>
      <c r="W500" s="38">
        <v>120</v>
      </c>
      <c r="X500" s="38">
        <v>120</v>
      </c>
      <c r="Y500" s="38">
        <v>500</v>
      </c>
      <c r="Z500" s="38">
        <v>500</v>
      </c>
      <c r="AA500" s="38">
        <v>500</v>
      </c>
      <c r="AB500" s="38">
        <v>500</v>
      </c>
      <c r="AC500" s="38">
        <v>2</v>
      </c>
      <c r="AD500" s="38">
        <v>4</v>
      </c>
      <c r="AE500" s="38">
        <v>8</v>
      </c>
      <c r="AF500" s="38">
        <v>8</v>
      </c>
      <c r="AG500" s="38">
        <v>0</v>
      </c>
      <c r="AH500" s="38">
        <v>0</v>
      </c>
      <c r="AI500" s="38">
        <v>0</v>
      </c>
      <c r="AJ500" s="38">
        <v>0</v>
      </c>
    </row>
    <row r="501" spans="1:36">
      <c r="A501" t="s">
        <v>112</v>
      </c>
      <c r="B501" t="s">
        <v>309</v>
      </c>
      <c r="C501" s="2" t="s">
        <v>111</v>
      </c>
      <c r="D501" s="5" t="s">
        <v>39</v>
      </c>
      <c r="E501" s="40">
        <v>99000</v>
      </c>
      <c r="F501" s="40">
        <v>99000</v>
      </c>
      <c r="G501" s="40">
        <v>99000</v>
      </c>
      <c r="H501" s="40">
        <v>99000</v>
      </c>
      <c r="I501" s="41">
        <v>91.52</v>
      </c>
      <c r="J501" s="41">
        <v>91.52</v>
      </c>
      <c r="K501" s="41">
        <v>102.78</v>
      </c>
      <c r="L501" s="41">
        <v>102.78</v>
      </c>
      <c r="M501" s="38">
        <v>400</v>
      </c>
      <c r="N501" s="38">
        <v>400</v>
      </c>
      <c r="O501" s="38">
        <v>400</v>
      </c>
      <c r="P501" s="38">
        <v>400</v>
      </c>
      <c r="Q501" s="38">
        <v>120</v>
      </c>
      <c r="R501" s="38">
        <v>120</v>
      </c>
      <c r="S501" s="38">
        <v>120</v>
      </c>
      <c r="T501" s="38">
        <v>120</v>
      </c>
      <c r="U501" s="38">
        <v>120</v>
      </c>
      <c r="V501" s="38">
        <v>120</v>
      </c>
      <c r="W501" s="38">
        <v>120</v>
      </c>
      <c r="X501" s="38">
        <v>120</v>
      </c>
      <c r="Y501" s="38">
        <v>500</v>
      </c>
      <c r="Z501" s="38">
        <v>500</v>
      </c>
      <c r="AA501" s="38">
        <v>500</v>
      </c>
      <c r="AB501" s="38">
        <v>500</v>
      </c>
      <c r="AC501" s="38">
        <v>2</v>
      </c>
      <c r="AD501" s="38">
        <v>4</v>
      </c>
      <c r="AE501" s="38">
        <v>8</v>
      </c>
      <c r="AF501" s="38">
        <v>8</v>
      </c>
      <c r="AG501" s="38">
        <v>0</v>
      </c>
      <c r="AH501" s="38">
        <v>0</v>
      </c>
      <c r="AI501" s="38">
        <v>0</v>
      </c>
      <c r="AJ501" s="38">
        <v>0</v>
      </c>
    </row>
    <row r="502" spans="1:36">
      <c r="A502" t="s">
        <v>112</v>
      </c>
      <c r="B502" t="s">
        <v>309</v>
      </c>
      <c r="C502" s="2" t="s">
        <v>111</v>
      </c>
      <c r="D502" s="5" t="s">
        <v>39</v>
      </c>
      <c r="E502" s="40">
        <v>100000</v>
      </c>
      <c r="F502" s="40">
        <v>100000</v>
      </c>
      <c r="G502" s="40">
        <v>100000</v>
      </c>
      <c r="H502" s="40">
        <v>100000</v>
      </c>
      <c r="I502" s="41">
        <v>91.5</v>
      </c>
      <c r="J502" s="41">
        <v>91.5</v>
      </c>
      <c r="K502" s="41">
        <v>102.75</v>
      </c>
      <c r="L502" s="41">
        <v>102.75</v>
      </c>
      <c r="M502" s="38">
        <v>400</v>
      </c>
      <c r="N502" s="38">
        <v>400</v>
      </c>
      <c r="O502" s="38">
        <v>400</v>
      </c>
      <c r="P502" s="38">
        <v>400</v>
      </c>
      <c r="Q502" s="38">
        <v>120</v>
      </c>
      <c r="R502" s="38">
        <v>120</v>
      </c>
      <c r="S502" s="38">
        <v>120</v>
      </c>
      <c r="T502" s="38">
        <v>120</v>
      </c>
      <c r="U502" s="38">
        <v>120</v>
      </c>
      <c r="V502" s="38">
        <v>120</v>
      </c>
      <c r="W502" s="38">
        <v>120</v>
      </c>
      <c r="X502" s="38">
        <v>120</v>
      </c>
      <c r="Y502" s="38">
        <v>500</v>
      </c>
      <c r="Z502" s="38">
        <v>500</v>
      </c>
      <c r="AA502" s="38">
        <v>500</v>
      </c>
      <c r="AB502" s="38">
        <v>500</v>
      </c>
      <c r="AC502" s="38">
        <v>2</v>
      </c>
      <c r="AD502" s="38">
        <v>4</v>
      </c>
      <c r="AE502" s="38">
        <v>8</v>
      </c>
      <c r="AF502" s="38">
        <v>8</v>
      </c>
      <c r="AG502" s="38">
        <v>0</v>
      </c>
      <c r="AH502" s="38">
        <v>0</v>
      </c>
      <c r="AI502" s="38">
        <v>0</v>
      </c>
      <c r="AJ502" s="38">
        <v>0</v>
      </c>
    </row>
  </sheetData>
  <autoFilter ref="A2:AJ45" xr:uid="{00000000-0009-0000-0000-000006000000}"/>
  <phoneticPr fontId="5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GeneralMaster!$P$3:$P$26</xm:f>
          </x14:formula1>
          <xm:sqref>B2003:B3002</xm:sqref>
        </x14:dataValidation>
        <x14:dataValidation type="list" allowBlank="1" showInputMessage="1" showErrorMessage="1" xr:uid="{00000000-0002-0000-0600-000001000000}">
          <x14:formula1>
            <xm:f>GeneralMaster!$T$3:$T$200</xm:f>
          </x14:formula1>
          <xm:sqref>B3:B2002</xm:sqref>
        </x14:dataValidation>
        <x14:dataValidation type="list" allowBlank="1" showInputMessage="1" showErrorMessage="1" xr:uid="{00000000-0002-0000-0600-000002000000}">
          <x14:formula1>
            <xm:f>AccountMaster!#REF!</xm:f>
          </x14:formula1>
          <xm:sqref>A3:A3002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XEX310"/>
  <sheetViews>
    <sheetView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I16" sqref="I16"/>
    </sheetView>
  </sheetViews>
  <sheetFormatPr defaultColWidth="8.7109375" defaultRowHeight="15" outlineLevelCol="1"/>
  <cols>
    <col min="1" max="1" width="7.85546875" hidden="1" customWidth="1" outlineLevel="1"/>
    <col min="2" max="2" width="7" hidden="1" customWidth="1" outlineLevel="1"/>
    <col min="3" max="3" width="17.5703125" hidden="1" customWidth="1" outlineLevel="1"/>
    <col min="4" max="4" width="12.140625" hidden="1" customWidth="1" outlineLevel="1"/>
    <col min="5" max="5" width="7.28515625" bestFit="1" customWidth="1" collapsed="1"/>
    <col min="6" max="6" width="10.140625" bestFit="1" customWidth="1"/>
    <col min="7" max="7" width="41.7109375" style="7" bestFit="1" customWidth="1"/>
    <col min="8" max="8" width="16.85546875" style="25" bestFit="1" customWidth="1"/>
    <col min="9" max="9" width="35" style="7" bestFit="1" customWidth="1"/>
    <col min="10" max="10" width="16.5703125" bestFit="1" customWidth="1"/>
  </cols>
  <sheetData>
    <row r="1" spans="1:10 16378:16378" ht="36" customHeight="1"/>
    <row r="2" spans="1:10 16378:16378">
      <c r="A2" t="s">
        <v>0</v>
      </c>
      <c r="B2" t="s">
        <v>1</v>
      </c>
      <c r="C2" t="s">
        <v>885</v>
      </c>
      <c r="D2" t="s">
        <v>886</v>
      </c>
      <c r="E2" t="s">
        <v>887</v>
      </c>
      <c r="F2" t="s">
        <v>888</v>
      </c>
      <c r="G2" s="65" t="s">
        <v>889</v>
      </c>
      <c r="H2" s="65" t="s">
        <v>1</v>
      </c>
      <c r="I2" s="65" t="s">
        <v>890</v>
      </c>
      <c r="J2" s="66" t="s">
        <v>891</v>
      </c>
      <c r="XEX2" s="7"/>
    </row>
    <row r="3" spans="1:10 16378:16378">
      <c r="A3" t="s">
        <v>96</v>
      </c>
      <c r="B3" t="s">
        <v>396</v>
      </c>
      <c r="C3" t="s">
        <v>473</v>
      </c>
      <c r="D3" t="s">
        <v>181</v>
      </c>
      <c r="E3">
        <v>1</v>
      </c>
      <c r="F3">
        <v>99999</v>
      </c>
      <c r="G3" s="7" t="s">
        <v>972</v>
      </c>
      <c r="H3" s="25" t="s">
        <v>397</v>
      </c>
      <c r="I3" s="7" t="s">
        <v>474</v>
      </c>
      <c r="J3" t="s">
        <v>182</v>
      </c>
    </row>
    <row r="4" spans="1:10 16378:16378">
      <c r="A4" t="s">
        <v>96</v>
      </c>
      <c r="B4" t="s">
        <v>396</v>
      </c>
      <c r="C4" t="s">
        <v>656</v>
      </c>
      <c r="D4" t="s">
        <v>181</v>
      </c>
      <c r="E4">
        <v>2000</v>
      </c>
      <c r="F4">
        <v>1000</v>
      </c>
      <c r="G4" s="7" t="s">
        <v>972</v>
      </c>
      <c r="H4" s="25" t="s">
        <v>397</v>
      </c>
      <c r="I4" s="7" t="s">
        <v>1033</v>
      </c>
      <c r="J4" t="s">
        <v>182</v>
      </c>
    </row>
    <row r="5" spans="1:10 16378:16378">
      <c r="A5" t="s">
        <v>96</v>
      </c>
      <c r="B5" t="s">
        <v>396</v>
      </c>
      <c r="C5" t="s">
        <v>656</v>
      </c>
      <c r="D5" t="s">
        <v>181</v>
      </c>
      <c r="E5">
        <v>1.5</v>
      </c>
      <c r="F5">
        <v>99999</v>
      </c>
      <c r="G5" s="7" t="s">
        <v>972</v>
      </c>
      <c r="H5" s="25" t="s">
        <v>397</v>
      </c>
      <c r="I5" s="7" t="s">
        <v>1033</v>
      </c>
      <c r="J5" t="s">
        <v>182</v>
      </c>
    </row>
    <row r="6" spans="1:10 16378:16378">
      <c r="A6" t="s">
        <v>96</v>
      </c>
      <c r="B6" t="s">
        <v>396</v>
      </c>
      <c r="C6" t="s">
        <v>487</v>
      </c>
      <c r="D6" t="s">
        <v>181</v>
      </c>
      <c r="E6">
        <v>1.25</v>
      </c>
      <c r="F6">
        <v>99999</v>
      </c>
      <c r="G6" s="7" t="s">
        <v>972</v>
      </c>
      <c r="H6" s="25" t="s">
        <v>397</v>
      </c>
      <c r="I6" s="7" t="s">
        <v>488</v>
      </c>
      <c r="J6" t="s">
        <v>182</v>
      </c>
    </row>
    <row r="7" spans="1:10 16378:16378">
      <c r="A7" t="s">
        <v>96</v>
      </c>
      <c r="B7" t="s">
        <v>279</v>
      </c>
      <c r="C7" t="s">
        <v>473</v>
      </c>
      <c r="D7" t="s">
        <v>186</v>
      </c>
      <c r="E7">
        <v>0.5</v>
      </c>
      <c r="F7">
        <v>99999</v>
      </c>
      <c r="G7" s="7" t="s">
        <v>972</v>
      </c>
      <c r="H7" s="25" t="s">
        <v>280</v>
      </c>
      <c r="I7" s="7" t="s">
        <v>474</v>
      </c>
      <c r="J7" t="s">
        <v>187</v>
      </c>
    </row>
    <row r="8" spans="1:10 16378:16378">
      <c r="A8" t="s">
        <v>111</v>
      </c>
      <c r="B8" t="s">
        <v>279</v>
      </c>
      <c r="C8" t="s">
        <v>476</v>
      </c>
      <c r="D8" t="s">
        <v>188</v>
      </c>
      <c r="E8">
        <v>3.3330000000000002</v>
      </c>
      <c r="F8">
        <v>999999999</v>
      </c>
      <c r="G8" s="7" t="s">
        <v>964</v>
      </c>
      <c r="H8" s="25" t="s">
        <v>280</v>
      </c>
      <c r="I8" s="7" t="s">
        <v>477</v>
      </c>
      <c r="J8" t="s">
        <v>189</v>
      </c>
    </row>
    <row r="9" spans="1:10 16378:16378">
      <c r="A9" t="s">
        <v>111</v>
      </c>
      <c r="B9" t="s">
        <v>279</v>
      </c>
      <c r="C9" t="s">
        <v>476</v>
      </c>
      <c r="D9" t="s">
        <v>188</v>
      </c>
      <c r="E9">
        <v>5</v>
      </c>
      <c r="F9">
        <v>999999999</v>
      </c>
      <c r="G9" s="25" t="s">
        <v>964</v>
      </c>
      <c r="H9" s="25" t="s">
        <v>280</v>
      </c>
      <c r="I9" s="7" t="s">
        <v>477</v>
      </c>
      <c r="J9" t="s">
        <v>189</v>
      </c>
    </row>
    <row r="10" spans="1:10 16378:16378">
      <c r="A10" t="s">
        <v>111</v>
      </c>
      <c r="B10" t="s">
        <v>366</v>
      </c>
      <c r="C10" t="s">
        <v>795</v>
      </c>
      <c r="D10" t="s">
        <v>181</v>
      </c>
      <c r="E10">
        <v>0.25</v>
      </c>
      <c r="F10">
        <v>999999999</v>
      </c>
      <c r="G10" s="7" t="s">
        <v>964</v>
      </c>
      <c r="H10" s="25" t="s">
        <v>367</v>
      </c>
      <c r="I10" s="7" t="s">
        <v>802</v>
      </c>
      <c r="J10" t="s">
        <v>182</v>
      </c>
    </row>
    <row r="11" spans="1:10 16378:16378">
      <c r="A11" t="s">
        <v>111</v>
      </c>
      <c r="B11" t="s">
        <v>396</v>
      </c>
      <c r="C11" t="s">
        <v>795</v>
      </c>
      <c r="D11" t="s">
        <v>181</v>
      </c>
      <c r="E11">
        <v>0.25</v>
      </c>
      <c r="F11">
        <v>999999999</v>
      </c>
      <c r="G11" s="7" t="s">
        <v>964</v>
      </c>
      <c r="H11" s="25" t="s">
        <v>397</v>
      </c>
      <c r="I11" s="7" t="s">
        <v>802</v>
      </c>
      <c r="J11" t="s">
        <v>182</v>
      </c>
    </row>
    <row r="12" spans="1:10 16378:16378">
      <c r="A12" t="s">
        <v>111</v>
      </c>
      <c r="B12" t="s">
        <v>366</v>
      </c>
      <c r="C12" t="s">
        <v>796</v>
      </c>
      <c r="D12" t="s">
        <v>181</v>
      </c>
      <c r="E12">
        <v>0.4</v>
      </c>
      <c r="F12">
        <v>999999999</v>
      </c>
      <c r="G12" s="7" t="s">
        <v>964</v>
      </c>
      <c r="H12" s="25" t="s">
        <v>367</v>
      </c>
      <c r="I12" s="7" t="s">
        <v>1049</v>
      </c>
      <c r="J12" t="s">
        <v>182</v>
      </c>
    </row>
    <row r="13" spans="1:10 16378:16378">
      <c r="A13" t="s">
        <v>111</v>
      </c>
      <c r="B13" t="s">
        <v>396</v>
      </c>
      <c r="C13" t="s">
        <v>796</v>
      </c>
      <c r="D13" t="s">
        <v>181</v>
      </c>
      <c r="E13">
        <v>0.4</v>
      </c>
      <c r="F13">
        <v>999999999</v>
      </c>
      <c r="G13" s="7" t="s">
        <v>964</v>
      </c>
      <c r="H13" s="25" t="s">
        <v>397</v>
      </c>
      <c r="I13" s="7" t="s">
        <v>1049</v>
      </c>
      <c r="J13" t="s">
        <v>182</v>
      </c>
    </row>
    <row r="14" spans="1:10 16378:16378">
      <c r="A14" t="s">
        <v>111</v>
      </c>
      <c r="B14" t="s">
        <v>279</v>
      </c>
      <c r="C14" t="s">
        <v>485</v>
      </c>
      <c r="D14" t="s">
        <v>188</v>
      </c>
      <c r="E14">
        <v>2.3519999999999999</v>
      </c>
      <c r="F14">
        <v>99999999</v>
      </c>
      <c r="G14" s="7" t="s">
        <v>964</v>
      </c>
      <c r="H14" s="25" t="s">
        <v>280</v>
      </c>
      <c r="I14" s="7" t="s">
        <v>486</v>
      </c>
      <c r="J14" t="s">
        <v>189</v>
      </c>
    </row>
    <row r="15" spans="1:10 16378:16378">
      <c r="A15" t="s">
        <v>111</v>
      </c>
      <c r="B15" t="s">
        <v>366</v>
      </c>
      <c r="C15" t="s">
        <v>797</v>
      </c>
      <c r="D15" t="s">
        <v>181</v>
      </c>
      <c r="E15">
        <v>5</v>
      </c>
      <c r="F15">
        <v>999999999</v>
      </c>
      <c r="G15" s="7" t="s">
        <v>964</v>
      </c>
      <c r="H15" s="25" t="s">
        <v>367</v>
      </c>
      <c r="I15" s="7" t="s">
        <v>1050</v>
      </c>
      <c r="J15" t="s">
        <v>182</v>
      </c>
    </row>
    <row r="16" spans="1:10 16378:16378">
      <c r="A16" t="s">
        <v>111</v>
      </c>
      <c r="B16" t="s">
        <v>396</v>
      </c>
      <c r="C16" t="s">
        <v>797</v>
      </c>
      <c r="D16" t="s">
        <v>181</v>
      </c>
      <c r="E16">
        <v>5</v>
      </c>
      <c r="F16">
        <v>999999999</v>
      </c>
      <c r="G16" s="7" t="s">
        <v>964</v>
      </c>
      <c r="H16" s="25" t="s">
        <v>397</v>
      </c>
      <c r="I16" s="7" t="s">
        <v>1050</v>
      </c>
      <c r="J16" t="s">
        <v>182</v>
      </c>
    </row>
    <row r="17" spans="1:10">
      <c r="A17" t="s">
        <v>111</v>
      </c>
      <c r="B17" t="s">
        <v>279</v>
      </c>
      <c r="C17" t="s">
        <v>489</v>
      </c>
      <c r="D17" t="s">
        <v>188</v>
      </c>
      <c r="E17">
        <v>1</v>
      </c>
      <c r="F17">
        <v>999999999</v>
      </c>
      <c r="G17" s="7" t="s">
        <v>964</v>
      </c>
      <c r="H17" s="25" t="s">
        <v>280</v>
      </c>
      <c r="I17" s="7" t="s">
        <v>490</v>
      </c>
      <c r="J17" t="s">
        <v>189</v>
      </c>
    </row>
    <row r="18" spans="1:10">
      <c r="A18" t="s">
        <v>111</v>
      </c>
      <c r="B18" t="s">
        <v>366</v>
      </c>
      <c r="C18" t="s">
        <v>656</v>
      </c>
      <c r="D18" t="s">
        <v>181</v>
      </c>
      <c r="E18">
        <v>1.2</v>
      </c>
      <c r="F18">
        <v>999999999</v>
      </c>
      <c r="G18" s="7" t="s">
        <v>964</v>
      </c>
      <c r="H18" s="25" t="s">
        <v>367</v>
      </c>
      <c r="I18" s="7" t="s">
        <v>1033</v>
      </c>
      <c r="J18" t="s">
        <v>182</v>
      </c>
    </row>
    <row r="19" spans="1:10">
      <c r="A19" t="s">
        <v>111</v>
      </c>
      <c r="B19" t="s">
        <v>396</v>
      </c>
      <c r="C19" t="s">
        <v>656</v>
      </c>
      <c r="D19" t="s">
        <v>181</v>
      </c>
      <c r="E19">
        <v>1.2</v>
      </c>
      <c r="F19">
        <v>999999999</v>
      </c>
      <c r="G19" s="7" t="s">
        <v>964</v>
      </c>
      <c r="H19" s="25" t="s">
        <v>397</v>
      </c>
      <c r="I19" s="7" t="s">
        <v>1033</v>
      </c>
      <c r="J19" t="s">
        <v>182</v>
      </c>
    </row>
    <row r="20" spans="1:10">
      <c r="A20" t="s">
        <v>113</v>
      </c>
      <c r="B20" t="s">
        <v>279</v>
      </c>
      <c r="C20" t="s">
        <v>476</v>
      </c>
      <c r="D20" t="s">
        <v>188</v>
      </c>
      <c r="E20">
        <v>3.3330000000000002</v>
      </c>
      <c r="F20">
        <v>999999999</v>
      </c>
      <c r="G20" s="7" t="s">
        <v>967</v>
      </c>
      <c r="H20" s="25" t="s">
        <v>280</v>
      </c>
      <c r="I20" s="7" t="s">
        <v>477</v>
      </c>
      <c r="J20" t="s">
        <v>189</v>
      </c>
    </row>
    <row r="21" spans="1:10">
      <c r="A21" t="s">
        <v>113</v>
      </c>
      <c r="B21" t="s">
        <v>279</v>
      </c>
      <c r="C21" t="s">
        <v>476</v>
      </c>
      <c r="D21" t="s">
        <v>188</v>
      </c>
      <c r="E21">
        <v>5</v>
      </c>
      <c r="F21">
        <v>999999999</v>
      </c>
      <c r="G21" s="7" t="s">
        <v>967</v>
      </c>
      <c r="H21" s="25" t="s">
        <v>280</v>
      </c>
      <c r="I21" s="7" t="s">
        <v>477</v>
      </c>
      <c r="J21" t="s">
        <v>189</v>
      </c>
    </row>
    <row r="22" spans="1:10">
      <c r="A22" t="s">
        <v>113</v>
      </c>
      <c r="B22" t="s">
        <v>366</v>
      </c>
      <c r="C22" t="s">
        <v>795</v>
      </c>
      <c r="D22" t="s">
        <v>181</v>
      </c>
      <c r="E22">
        <v>0.25</v>
      </c>
      <c r="F22">
        <v>999999999</v>
      </c>
      <c r="G22" s="7" t="s">
        <v>967</v>
      </c>
      <c r="H22" s="25" t="s">
        <v>367</v>
      </c>
      <c r="I22" s="7" t="s">
        <v>802</v>
      </c>
      <c r="J22" t="s">
        <v>182</v>
      </c>
    </row>
    <row r="23" spans="1:10">
      <c r="A23" t="s">
        <v>113</v>
      </c>
      <c r="B23" t="s">
        <v>396</v>
      </c>
      <c r="C23" t="s">
        <v>795</v>
      </c>
      <c r="D23" t="s">
        <v>181</v>
      </c>
      <c r="E23">
        <v>0.25</v>
      </c>
      <c r="F23">
        <v>999999999</v>
      </c>
      <c r="G23" s="7" t="s">
        <v>967</v>
      </c>
      <c r="H23" s="25" t="s">
        <v>397</v>
      </c>
      <c r="I23" s="7" t="s">
        <v>802</v>
      </c>
      <c r="J23" t="s">
        <v>182</v>
      </c>
    </row>
    <row r="24" spans="1:10">
      <c r="A24" t="s">
        <v>113</v>
      </c>
      <c r="B24" t="s">
        <v>366</v>
      </c>
      <c r="C24" t="s">
        <v>796</v>
      </c>
      <c r="D24" t="s">
        <v>181</v>
      </c>
      <c r="E24">
        <v>0.4</v>
      </c>
      <c r="F24">
        <v>999999999</v>
      </c>
      <c r="G24" s="7" t="s">
        <v>967</v>
      </c>
      <c r="H24" s="25" t="s">
        <v>367</v>
      </c>
      <c r="I24" s="7" t="s">
        <v>1049</v>
      </c>
      <c r="J24" t="s">
        <v>182</v>
      </c>
    </row>
    <row r="25" spans="1:10">
      <c r="A25" t="s">
        <v>113</v>
      </c>
      <c r="B25" t="s">
        <v>396</v>
      </c>
      <c r="C25" t="s">
        <v>796</v>
      </c>
      <c r="D25" t="s">
        <v>181</v>
      </c>
      <c r="E25">
        <v>0.4</v>
      </c>
      <c r="F25">
        <v>999999999</v>
      </c>
      <c r="G25" s="7" t="s">
        <v>967</v>
      </c>
      <c r="H25" s="25" t="s">
        <v>397</v>
      </c>
      <c r="I25" s="7" t="s">
        <v>1049</v>
      </c>
      <c r="J25" t="s">
        <v>182</v>
      </c>
    </row>
    <row r="26" spans="1:10">
      <c r="A26" t="s">
        <v>113</v>
      </c>
      <c r="B26" t="s">
        <v>279</v>
      </c>
      <c r="C26" t="s">
        <v>485</v>
      </c>
      <c r="D26" t="s">
        <v>188</v>
      </c>
      <c r="E26">
        <v>2.3519999999999999</v>
      </c>
      <c r="F26">
        <v>99999999</v>
      </c>
      <c r="G26" s="7" t="s">
        <v>967</v>
      </c>
      <c r="H26" s="25" t="s">
        <v>280</v>
      </c>
      <c r="I26" s="7" t="s">
        <v>486</v>
      </c>
      <c r="J26" t="s">
        <v>189</v>
      </c>
    </row>
    <row r="27" spans="1:10">
      <c r="A27" t="s">
        <v>113</v>
      </c>
      <c r="B27" t="s">
        <v>366</v>
      </c>
      <c r="C27" t="s">
        <v>797</v>
      </c>
      <c r="D27" t="s">
        <v>181</v>
      </c>
      <c r="E27">
        <v>5</v>
      </c>
      <c r="F27">
        <v>999999999</v>
      </c>
      <c r="G27" s="7" t="s">
        <v>967</v>
      </c>
      <c r="H27" s="25" t="s">
        <v>367</v>
      </c>
      <c r="I27" s="7" t="s">
        <v>1050</v>
      </c>
      <c r="J27" t="s">
        <v>182</v>
      </c>
    </row>
    <row r="28" spans="1:10">
      <c r="A28" t="s">
        <v>113</v>
      </c>
      <c r="B28" t="s">
        <v>396</v>
      </c>
      <c r="C28" t="s">
        <v>797</v>
      </c>
      <c r="D28" t="s">
        <v>181</v>
      </c>
      <c r="E28">
        <v>5</v>
      </c>
      <c r="F28">
        <v>999999999</v>
      </c>
      <c r="G28" s="7" t="s">
        <v>967</v>
      </c>
      <c r="H28" s="25" t="s">
        <v>397</v>
      </c>
      <c r="I28" s="7" t="s">
        <v>1050</v>
      </c>
      <c r="J28" t="s">
        <v>182</v>
      </c>
    </row>
    <row r="29" spans="1:10">
      <c r="A29" t="s">
        <v>113</v>
      </c>
      <c r="B29" t="s">
        <v>279</v>
      </c>
      <c r="C29" t="s">
        <v>489</v>
      </c>
      <c r="D29" t="s">
        <v>188</v>
      </c>
      <c r="E29">
        <v>1</v>
      </c>
      <c r="F29">
        <v>999999999</v>
      </c>
      <c r="G29" s="7" t="s">
        <v>967</v>
      </c>
      <c r="H29" s="25" t="s">
        <v>280</v>
      </c>
      <c r="I29" s="7" t="s">
        <v>490</v>
      </c>
      <c r="J29" t="s">
        <v>189</v>
      </c>
    </row>
    <row r="30" spans="1:10">
      <c r="A30" t="s">
        <v>113</v>
      </c>
      <c r="B30" t="s">
        <v>366</v>
      </c>
      <c r="C30" t="s">
        <v>656</v>
      </c>
      <c r="D30" t="s">
        <v>181</v>
      </c>
      <c r="E30">
        <v>1.2</v>
      </c>
      <c r="F30">
        <v>999999999</v>
      </c>
      <c r="G30" s="7" t="s">
        <v>967</v>
      </c>
      <c r="H30" s="25" t="s">
        <v>367</v>
      </c>
      <c r="I30" s="7" t="s">
        <v>1033</v>
      </c>
      <c r="J30" t="s">
        <v>182</v>
      </c>
    </row>
    <row r="31" spans="1:10">
      <c r="A31" t="s">
        <v>113</v>
      </c>
      <c r="B31" t="s">
        <v>396</v>
      </c>
      <c r="C31" t="s">
        <v>656</v>
      </c>
      <c r="D31" t="s">
        <v>181</v>
      </c>
      <c r="E31">
        <v>1.2</v>
      </c>
      <c r="F31">
        <v>999999999</v>
      </c>
      <c r="G31" s="7" t="s">
        <v>967</v>
      </c>
      <c r="H31" s="25" t="s">
        <v>397</v>
      </c>
      <c r="I31" s="7" t="s">
        <v>1033</v>
      </c>
      <c r="J31" t="s">
        <v>182</v>
      </c>
    </row>
    <row r="32" spans="1:10">
      <c r="A32" t="s">
        <v>897</v>
      </c>
      <c r="B32" t="s">
        <v>279</v>
      </c>
      <c r="C32" t="s">
        <v>473</v>
      </c>
      <c r="D32" t="s">
        <v>188</v>
      </c>
      <c r="E32">
        <v>4</v>
      </c>
      <c r="F32">
        <v>999999999</v>
      </c>
      <c r="G32" s="7" t="s">
        <v>969</v>
      </c>
      <c r="H32" s="25" t="s">
        <v>280</v>
      </c>
      <c r="I32" s="7" t="s">
        <v>474</v>
      </c>
      <c r="J32" t="s">
        <v>189</v>
      </c>
    </row>
    <row r="33" spans="1:10">
      <c r="A33" t="s">
        <v>897</v>
      </c>
      <c r="B33" t="s">
        <v>279</v>
      </c>
      <c r="C33" t="s">
        <v>476</v>
      </c>
      <c r="D33" t="s">
        <v>188</v>
      </c>
      <c r="E33">
        <v>5</v>
      </c>
      <c r="F33">
        <v>999999999</v>
      </c>
      <c r="G33" s="7" t="s">
        <v>969</v>
      </c>
      <c r="H33" s="25" t="s">
        <v>280</v>
      </c>
      <c r="I33" s="7" t="s">
        <v>477</v>
      </c>
      <c r="J33" t="s">
        <v>189</v>
      </c>
    </row>
    <row r="34" spans="1:10">
      <c r="A34" t="s">
        <v>897</v>
      </c>
      <c r="B34" t="s">
        <v>396</v>
      </c>
      <c r="C34" t="s">
        <v>795</v>
      </c>
      <c r="D34" t="s">
        <v>181</v>
      </c>
      <c r="E34">
        <v>0.25</v>
      </c>
      <c r="F34">
        <v>999999999</v>
      </c>
      <c r="G34" s="7" t="s">
        <v>969</v>
      </c>
      <c r="H34" s="25" t="s">
        <v>397</v>
      </c>
      <c r="I34" s="7" t="s">
        <v>802</v>
      </c>
      <c r="J34" t="s">
        <v>182</v>
      </c>
    </row>
    <row r="35" spans="1:10">
      <c r="A35" t="s">
        <v>897</v>
      </c>
      <c r="B35" t="s">
        <v>366</v>
      </c>
      <c r="C35" t="s">
        <v>796</v>
      </c>
      <c r="D35" t="s">
        <v>181</v>
      </c>
      <c r="E35">
        <v>0.25</v>
      </c>
      <c r="F35">
        <v>999999999</v>
      </c>
      <c r="G35" s="7" t="s">
        <v>969</v>
      </c>
      <c r="H35" s="25" t="s">
        <v>367</v>
      </c>
      <c r="I35" s="7" t="s">
        <v>1049</v>
      </c>
      <c r="J35" t="s">
        <v>182</v>
      </c>
    </row>
    <row r="36" spans="1:10">
      <c r="A36" t="s">
        <v>897</v>
      </c>
      <c r="B36" t="s">
        <v>396</v>
      </c>
      <c r="C36" t="s">
        <v>796</v>
      </c>
      <c r="D36" t="s">
        <v>181</v>
      </c>
      <c r="E36">
        <v>0.4</v>
      </c>
      <c r="F36">
        <v>999999999</v>
      </c>
      <c r="G36" s="7" t="s">
        <v>969</v>
      </c>
      <c r="H36" s="25" t="s">
        <v>397</v>
      </c>
      <c r="I36" s="7" t="s">
        <v>1049</v>
      </c>
      <c r="J36" t="s">
        <v>182</v>
      </c>
    </row>
    <row r="37" spans="1:10">
      <c r="A37" t="s">
        <v>897</v>
      </c>
      <c r="B37" t="s">
        <v>396</v>
      </c>
      <c r="C37" t="s">
        <v>798</v>
      </c>
      <c r="D37" t="s">
        <v>190</v>
      </c>
      <c r="E37">
        <v>50</v>
      </c>
      <c r="F37">
        <v>999999999</v>
      </c>
      <c r="G37" s="7" t="s">
        <v>969</v>
      </c>
      <c r="H37" s="25" t="s">
        <v>397</v>
      </c>
      <c r="I37" s="7" t="s">
        <v>1026</v>
      </c>
      <c r="J37" t="s">
        <v>191</v>
      </c>
    </row>
    <row r="38" spans="1:10">
      <c r="A38" t="s">
        <v>897</v>
      </c>
      <c r="B38" t="s">
        <v>388</v>
      </c>
      <c r="C38" t="s">
        <v>762</v>
      </c>
      <c r="D38" t="s">
        <v>181</v>
      </c>
      <c r="E38">
        <v>0.1</v>
      </c>
      <c r="F38">
        <v>999999999</v>
      </c>
      <c r="G38" s="7" t="s">
        <v>969</v>
      </c>
      <c r="H38" s="25" t="s">
        <v>389</v>
      </c>
      <c r="I38" s="7" t="s">
        <v>757</v>
      </c>
      <c r="J38" t="s">
        <v>182</v>
      </c>
    </row>
    <row r="39" spans="1:10">
      <c r="A39" t="s">
        <v>897</v>
      </c>
      <c r="B39" t="s">
        <v>388</v>
      </c>
      <c r="C39" t="s">
        <v>799</v>
      </c>
      <c r="D39" t="s">
        <v>181</v>
      </c>
      <c r="E39">
        <v>0.1</v>
      </c>
      <c r="F39">
        <v>999999999</v>
      </c>
      <c r="G39" s="7" t="s">
        <v>969</v>
      </c>
      <c r="H39" s="25" t="s">
        <v>389</v>
      </c>
      <c r="I39" s="7" t="s">
        <v>1027</v>
      </c>
      <c r="J39" t="s">
        <v>182</v>
      </c>
    </row>
    <row r="40" spans="1:10">
      <c r="A40" t="s">
        <v>897</v>
      </c>
      <c r="B40" t="s">
        <v>279</v>
      </c>
      <c r="C40" t="s">
        <v>485</v>
      </c>
      <c r="D40" t="s">
        <v>188</v>
      </c>
      <c r="E40">
        <v>2.3519999999999999</v>
      </c>
      <c r="F40">
        <v>99999999</v>
      </c>
      <c r="G40" s="7" t="s">
        <v>1001</v>
      </c>
      <c r="H40" s="25" t="s">
        <v>280</v>
      </c>
      <c r="I40" s="7" t="s">
        <v>474</v>
      </c>
      <c r="J40" t="s">
        <v>189</v>
      </c>
    </row>
    <row r="41" spans="1:10">
      <c r="A41" t="s">
        <v>897</v>
      </c>
      <c r="B41" t="s">
        <v>366</v>
      </c>
      <c r="C41" t="s">
        <v>656</v>
      </c>
      <c r="D41" t="s">
        <v>181</v>
      </c>
      <c r="E41">
        <v>1.2</v>
      </c>
      <c r="F41">
        <v>999999999</v>
      </c>
      <c r="G41" s="7" t="s">
        <v>1001</v>
      </c>
      <c r="H41" s="25" t="s">
        <v>280</v>
      </c>
      <c r="I41" s="7" t="s">
        <v>477</v>
      </c>
      <c r="J41" t="s">
        <v>189</v>
      </c>
    </row>
    <row r="42" spans="1:10">
      <c r="A42" t="s">
        <v>897</v>
      </c>
      <c r="B42" t="s">
        <v>396</v>
      </c>
      <c r="C42" t="s">
        <v>656</v>
      </c>
      <c r="D42" t="s">
        <v>181</v>
      </c>
      <c r="E42">
        <v>1.2</v>
      </c>
      <c r="F42">
        <v>999999999</v>
      </c>
      <c r="G42" s="7" t="s">
        <v>1001</v>
      </c>
      <c r="H42" s="25" t="s">
        <v>397</v>
      </c>
      <c r="I42" s="7" t="s">
        <v>802</v>
      </c>
      <c r="J42" t="s">
        <v>182</v>
      </c>
    </row>
    <row r="43" spans="1:10">
      <c r="A43" t="s">
        <v>897</v>
      </c>
      <c r="B43" t="s">
        <v>366</v>
      </c>
      <c r="C43" t="s">
        <v>797</v>
      </c>
      <c r="D43" t="s">
        <v>181</v>
      </c>
      <c r="E43">
        <v>9</v>
      </c>
      <c r="F43">
        <v>999999999</v>
      </c>
      <c r="G43" s="7" t="s">
        <v>1001</v>
      </c>
      <c r="H43" s="25" t="s">
        <v>367</v>
      </c>
      <c r="I43" s="7" t="s">
        <v>1049</v>
      </c>
      <c r="J43" t="s">
        <v>182</v>
      </c>
    </row>
    <row r="44" spans="1:10">
      <c r="A44" t="s">
        <v>897</v>
      </c>
      <c r="B44" t="s">
        <v>396</v>
      </c>
      <c r="C44" t="s">
        <v>797</v>
      </c>
      <c r="D44" t="s">
        <v>181</v>
      </c>
      <c r="E44">
        <v>9</v>
      </c>
      <c r="F44">
        <v>999999999</v>
      </c>
      <c r="G44" s="7" t="s">
        <v>1001</v>
      </c>
      <c r="H44" s="25" t="s">
        <v>397</v>
      </c>
      <c r="I44" s="7" t="s">
        <v>1049</v>
      </c>
      <c r="J44" t="s">
        <v>182</v>
      </c>
    </row>
    <row r="45" spans="1:10">
      <c r="A45" t="s">
        <v>897</v>
      </c>
      <c r="B45" t="s">
        <v>279</v>
      </c>
      <c r="C45" t="s">
        <v>489</v>
      </c>
      <c r="D45" t="s">
        <v>188</v>
      </c>
      <c r="E45">
        <v>1</v>
      </c>
      <c r="F45">
        <v>999999999</v>
      </c>
      <c r="G45" s="7" t="s">
        <v>1001</v>
      </c>
      <c r="H45" s="25" t="s">
        <v>397</v>
      </c>
      <c r="I45" s="7" t="s">
        <v>1026</v>
      </c>
      <c r="J45" t="s">
        <v>191</v>
      </c>
    </row>
    <row r="46" spans="1:10">
      <c r="G46" s="7" t="s">
        <v>1001</v>
      </c>
      <c r="H46" s="25" t="s">
        <v>389</v>
      </c>
      <c r="I46" s="7" t="s">
        <v>757</v>
      </c>
      <c r="J46" t="s">
        <v>182</v>
      </c>
    </row>
    <row r="47" spans="1:10">
      <c r="G47" s="7" t="s">
        <v>1001</v>
      </c>
      <c r="H47" s="25" t="s">
        <v>389</v>
      </c>
      <c r="I47" s="7" t="s">
        <v>1027</v>
      </c>
      <c r="J47" t="s">
        <v>182</v>
      </c>
    </row>
    <row r="48" spans="1:10">
      <c r="G48" s="7" t="s">
        <v>1001</v>
      </c>
      <c r="H48" s="25" t="s">
        <v>280</v>
      </c>
      <c r="I48" s="7" t="s">
        <v>486</v>
      </c>
      <c r="J48" t="s">
        <v>189</v>
      </c>
    </row>
    <row r="49" spans="7:10">
      <c r="G49" s="7" t="s">
        <v>1001</v>
      </c>
      <c r="H49" s="25" t="s">
        <v>367</v>
      </c>
      <c r="I49" s="7" t="s">
        <v>1033</v>
      </c>
      <c r="J49" t="s">
        <v>182</v>
      </c>
    </row>
    <row r="50" spans="7:10">
      <c r="G50" s="7" t="s">
        <v>1001</v>
      </c>
      <c r="H50" s="25" t="s">
        <v>397</v>
      </c>
      <c r="I50" s="7" t="s">
        <v>1033</v>
      </c>
      <c r="J50" t="s">
        <v>182</v>
      </c>
    </row>
    <row r="51" spans="7:10">
      <c r="G51" s="7" t="s">
        <v>1001</v>
      </c>
      <c r="H51" s="25" t="s">
        <v>367</v>
      </c>
      <c r="I51" s="7" t="s">
        <v>1050</v>
      </c>
      <c r="J51" t="s">
        <v>182</v>
      </c>
    </row>
    <row r="52" spans="7:10">
      <c r="G52" s="7" t="s">
        <v>1001</v>
      </c>
      <c r="H52" s="25" t="s">
        <v>397</v>
      </c>
      <c r="I52" s="7" t="s">
        <v>1050</v>
      </c>
      <c r="J52" t="s">
        <v>182</v>
      </c>
    </row>
    <row r="53" spans="7:10">
      <c r="G53" s="7" t="s">
        <v>1001</v>
      </c>
      <c r="H53" s="25" t="s">
        <v>280</v>
      </c>
      <c r="I53" s="7" t="s">
        <v>490</v>
      </c>
      <c r="J53" t="s">
        <v>189</v>
      </c>
    </row>
    <row r="54" spans="7:10">
      <c r="G54" s="7" t="s">
        <v>1003</v>
      </c>
      <c r="H54" s="25" t="s">
        <v>280</v>
      </c>
      <c r="I54" s="7" t="s">
        <v>477</v>
      </c>
      <c r="J54" t="s">
        <v>189</v>
      </c>
    </row>
    <row r="55" spans="7:10">
      <c r="G55" s="7" t="s">
        <v>1003</v>
      </c>
      <c r="H55" s="25" t="s">
        <v>280</v>
      </c>
      <c r="I55" s="7" t="s">
        <v>477</v>
      </c>
      <c r="J55" t="s">
        <v>189</v>
      </c>
    </row>
    <row r="56" spans="7:10">
      <c r="G56" s="7" t="s">
        <v>1003</v>
      </c>
      <c r="H56" s="25" t="s">
        <v>367</v>
      </c>
      <c r="I56" s="7" t="s">
        <v>802</v>
      </c>
      <c r="J56" t="s">
        <v>182</v>
      </c>
    </row>
    <row r="57" spans="7:10">
      <c r="G57" s="7" t="s">
        <v>1003</v>
      </c>
      <c r="H57" s="25" t="s">
        <v>397</v>
      </c>
      <c r="I57" s="7" t="s">
        <v>802</v>
      </c>
      <c r="J57" t="s">
        <v>182</v>
      </c>
    </row>
    <row r="58" spans="7:10">
      <c r="G58" s="7" t="s">
        <v>1003</v>
      </c>
      <c r="H58" s="25" t="s">
        <v>367</v>
      </c>
      <c r="I58" s="7" t="s">
        <v>1049</v>
      </c>
      <c r="J58" t="s">
        <v>182</v>
      </c>
    </row>
    <row r="59" spans="7:10">
      <c r="G59" s="7" t="s">
        <v>1003</v>
      </c>
      <c r="H59" s="25" t="s">
        <v>397</v>
      </c>
      <c r="I59" s="7" t="s">
        <v>1049</v>
      </c>
      <c r="J59" t="s">
        <v>182</v>
      </c>
    </row>
    <row r="60" spans="7:10">
      <c r="G60" s="7" t="s">
        <v>1003</v>
      </c>
      <c r="H60" s="25" t="s">
        <v>280</v>
      </c>
      <c r="I60" s="7" t="s">
        <v>486</v>
      </c>
      <c r="J60" t="s">
        <v>189</v>
      </c>
    </row>
    <row r="61" spans="7:10">
      <c r="G61" s="7" t="s">
        <v>1003</v>
      </c>
      <c r="H61" s="25" t="s">
        <v>367</v>
      </c>
      <c r="I61" s="7" t="s">
        <v>1033</v>
      </c>
      <c r="J61" t="s">
        <v>182</v>
      </c>
    </row>
    <row r="62" spans="7:10">
      <c r="G62" s="7" t="s">
        <v>1003</v>
      </c>
      <c r="H62" s="25" t="s">
        <v>397</v>
      </c>
      <c r="I62" s="7" t="s">
        <v>1033</v>
      </c>
      <c r="J62" t="s">
        <v>182</v>
      </c>
    </row>
    <row r="63" spans="7:10">
      <c r="G63" s="7" t="s">
        <v>1003</v>
      </c>
      <c r="H63" s="25" t="s">
        <v>367</v>
      </c>
      <c r="I63" s="7" t="s">
        <v>1050</v>
      </c>
      <c r="J63" t="s">
        <v>182</v>
      </c>
    </row>
    <row r="64" spans="7:10">
      <c r="G64" s="7" t="s">
        <v>1003</v>
      </c>
      <c r="H64" s="25" t="s">
        <v>397</v>
      </c>
      <c r="I64" s="7" t="s">
        <v>1050</v>
      </c>
      <c r="J64" t="s">
        <v>182</v>
      </c>
    </row>
    <row r="65" spans="7:10">
      <c r="G65" s="7" t="s">
        <v>1003</v>
      </c>
      <c r="H65" s="25" t="s">
        <v>280</v>
      </c>
      <c r="I65" s="7" t="s">
        <v>490</v>
      </c>
      <c r="J65" t="s">
        <v>189</v>
      </c>
    </row>
    <row r="66" spans="7:10">
      <c r="G66" s="7" t="s">
        <v>1005</v>
      </c>
      <c r="H66" s="25" t="s">
        <v>280</v>
      </c>
      <c r="I66" s="7" t="s">
        <v>474</v>
      </c>
      <c r="J66" t="s">
        <v>189</v>
      </c>
    </row>
    <row r="67" spans="7:10">
      <c r="G67" s="7" t="s">
        <v>1005</v>
      </c>
      <c r="H67" s="25" t="s">
        <v>280</v>
      </c>
      <c r="I67" s="7" t="s">
        <v>477</v>
      </c>
      <c r="J67" t="s">
        <v>189</v>
      </c>
    </row>
    <row r="68" spans="7:10">
      <c r="G68" s="7" t="s">
        <v>1005</v>
      </c>
      <c r="H68" s="25" t="s">
        <v>397</v>
      </c>
      <c r="I68" s="7" t="s">
        <v>802</v>
      </c>
      <c r="J68" t="s">
        <v>182</v>
      </c>
    </row>
    <row r="69" spans="7:10">
      <c r="G69" s="7" t="s">
        <v>1005</v>
      </c>
      <c r="H69" s="25" t="s">
        <v>367</v>
      </c>
      <c r="I69" s="7" t="s">
        <v>1049</v>
      </c>
      <c r="J69" t="s">
        <v>182</v>
      </c>
    </row>
    <row r="70" spans="7:10">
      <c r="G70" s="7" t="s">
        <v>1005</v>
      </c>
      <c r="H70" s="25" t="s">
        <v>397</v>
      </c>
      <c r="I70" s="7" t="s">
        <v>1049</v>
      </c>
      <c r="J70" t="s">
        <v>182</v>
      </c>
    </row>
    <row r="71" spans="7:10">
      <c r="G71" s="7" t="s">
        <v>1005</v>
      </c>
      <c r="H71" s="25" t="s">
        <v>397</v>
      </c>
      <c r="I71" s="7" t="s">
        <v>1026</v>
      </c>
      <c r="J71" t="s">
        <v>191</v>
      </c>
    </row>
    <row r="72" spans="7:10">
      <c r="G72" s="7" t="s">
        <v>1005</v>
      </c>
      <c r="H72" s="25" t="s">
        <v>389</v>
      </c>
      <c r="I72" s="7" t="s">
        <v>757</v>
      </c>
      <c r="J72" t="s">
        <v>182</v>
      </c>
    </row>
    <row r="73" spans="7:10">
      <c r="G73" s="7" t="s">
        <v>1005</v>
      </c>
      <c r="H73" s="25" t="s">
        <v>389</v>
      </c>
      <c r="I73" s="7" t="s">
        <v>1027</v>
      </c>
      <c r="J73" t="s">
        <v>182</v>
      </c>
    </row>
    <row r="74" spans="7:10">
      <c r="G74" s="7" t="s">
        <v>1005</v>
      </c>
      <c r="H74" s="25" t="s">
        <v>280</v>
      </c>
      <c r="I74" s="7" t="s">
        <v>486</v>
      </c>
      <c r="J74" t="s">
        <v>189</v>
      </c>
    </row>
    <row r="75" spans="7:10">
      <c r="G75" s="7" t="s">
        <v>1005</v>
      </c>
      <c r="H75" s="25" t="s">
        <v>367</v>
      </c>
      <c r="I75" s="7" t="s">
        <v>1033</v>
      </c>
      <c r="J75" t="s">
        <v>182</v>
      </c>
    </row>
    <row r="76" spans="7:10">
      <c r="G76" s="7" t="s">
        <v>1005</v>
      </c>
      <c r="H76" s="25" t="s">
        <v>397</v>
      </c>
      <c r="I76" s="7" t="s">
        <v>1033</v>
      </c>
      <c r="J76" t="s">
        <v>182</v>
      </c>
    </row>
    <row r="77" spans="7:10">
      <c r="G77" s="7" t="s">
        <v>1005</v>
      </c>
      <c r="H77" s="25" t="s">
        <v>367</v>
      </c>
      <c r="I77" s="7" t="s">
        <v>1050</v>
      </c>
      <c r="J77" t="s">
        <v>182</v>
      </c>
    </row>
    <row r="78" spans="7:10">
      <c r="G78" s="7" t="s">
        <v>976</v>
      </c>
      <c r="H78" s="25" t="s">
        <v>280</v>
      </c>
      <c r="I78" s="7" t="s">
        <v>474</v>
      </c>
      <c r="J78" t="s">
        <v>189</v>
      </c>
    </row>
    <row r="79" spans="7:10">
      <c r="G79" s="7" t="s">
        <v>976</v>
      </c>
      <c r="H79" s="25" t="s">
        <v>280</v>
      </c>
      <c r="I79" s="7" t="s">
        <v>477</v>
      </c>
      <c r="J79" t="s">
        <v>189</v>
      </c>
    </row>
    <row r="80" spans="7:10">
      <c r="G80" s="7" t="s">
        <v>976</v>
      </c>
      <c r="H80" s="25" t="s">
        <v>397</v>
      </c>
      <c r="I80" s="7" t="s">
        <v>802</v>
      </c>
      <c r="J80" t="s">
        <v>182</v>
      </c>
    </row>
    <row r="81" spans="7:10">
      <c r="G81" s="7" t="s">
        <v>976</v>
      </c>
      <c r="H81" s="25" t="s">
        <v>367</v>
      </c>
      <c r="I81" s="7" t="s">
        <v>1049</v>
      </c>
      <c r="J81" t="s">
        <v>182</v>
      </c>
    </row>
    <row r="82" spans="7:10">
      <c r="G82" s="7" t="s">
        <v>976</v>
      </c>
      <c r="H82" s="25" t="s">
        <v>397</v>
      </c>
      <c r="I82" s="7" t="s">
        <v>1049</v>
      </c>
      <c r="J82" t="s">
        <v>182</v>
      </c>
    </row>
    <row r="83" spans="7:10">
      <c r="G83" s="7" t="s">
        <v>976</v>
      </c>
      <c r="H83" s="25" t="s">
        <v>397</v>
      </c>
      <c r="I83" s="7" t="s">
        <v>1026</v>
      </c>
      <c r="J83" t="s">
        <v>191</v>
      </c>
    </row>
    <row r="84" spans="7:10">
      <c r="G84" s="7" t="s">
        <v>976</v>
      </c>
      <c r="H84" s="25" t="s">
        <v>389</v>
      </c>
      <c r="I84" s="7" t="s">
        <v>757</v>
      </c>
      <c r="J84" t="s">
        <v>182</v>
      </c>
    </row>
    <row r="85" spans="7:10">
      <c r="G85" s="7" t="s">
        <v>976</v>
      </c>
      <c r="H85" s="25" t="s">
        <v>389</v>
      </c>
      <c r="I85" s="7" t="s">
        <v>1027</v>
      </c>
      <c r="J85" t="s">
        <v>182</v>
      </c>
    </row>
    <row r="86" spans="7:10">
      <c r="G86" s="7" t="s">
        <v>976</v>
      </c>
      <c r="H86" s="25" t="s">
        <v>280</v>
      </c>
      <c r="I86" s="7" t="s">
        <v>486</v>
      </c>
      <c r="J86" t="s">
        <v>189</v>
      </c>
    </row>
    <row r="87" spans="7:10">
      <c r="G87" s="7" t="s">
        <v>976</v>
      </c>
      <c r="H87" s="25" t="s">
        <v>367</v>
      </c>
      <c r="I87" s="7" t="s">
        <v>1033</v>
      </c>
      <c r="J87" t="s">
        <v>182</v>
      </c>
    </row>
    <row r="88" spans="7:10">
      <c r="G88" s="7" t="s">
        <v>976</v>
      </c>
      <c r="H88" s="25" t="s">
        <v>397</v>
      </c>
      <c r="I88" s="7" t="s">
        <v>1033</v>
      </c>
      <c r="J88" t="s">
        <v>182</v>
      </c>
    </row>
    <row r="89" spans="7:10">
      <c r="G89" s="7" t="s">
        <v>976</v>
      </c>
      <c r="H89" s="25" t="s">
        <v>367</v>
      </c>
      <c r="I89" s="7" t="s">
        <v>1050</v>
      </c>
      <c r="J89" t="s">
        <v>182</v>
      </c>
    </row>
    <row r="90" spans="7:10">
      <c r="G90" s="7" t="s">
        <v>976</v>
      </c>
      <c r="H90" s="25" t="s">
        <v>397</v>
      </c>
      <c r="I90" s="7" t="s">
        <v>1050</v>
      </c>
      <c r="J90" t="s">
        <v>182</v>
      </c>
    </row>
    <row r="91" spans="7:10">
      <c r="G91" s="7" t="s">
        <v>976</v>
      </c>
      <c r="H91" s="25" t="s">
        <v>280</v>
      </c>
      <c r="I91" s="7" t="s">
        <v>490</v>
      </c>
      <c r="J91" t="s">
        <v>189</v>
      </c>
    </row>
    <row r="92" spans="7:10">
      <c r="G92" s="7" t="s">
        <v>978</v>
      </c>
      <c r="H92" s="25" t="s">
        <v>280</v>
      </c>
      <c r="I92" s="7" t="s">
        <v>477</v>
      </c>
      <c r="J92" t="s">
        <v>189</v>
      </c>
    </row>
    <row r="93" spans="7:10">
      <c r="G93" s="7" t="s">
        <v>978</v>
      </c>
      <c r="H93" s="25" t="s">
        <v>280</v>
      </c>
      <c r="I93" s="7" t="s">
        <v>477</v>
      </c>
      <c r="J93" t="s">
        <v>189</v>
      </c>
    </row>
    <row r="94" spans="7:10">
      <c r="G94" s="7" t="s">
        <v>978</v>
      </c>
      <c r="H94" s="25" t="s">
        <v>367</v>
      </c>
      <c r="I94" s="7" t="s">
        <v>802</v>
      </c>
      <c r="J94" t="s">
        <v>182</v>
      </c>
    </row>
    <row r="95" spans="7:10">
      <c r="G95" s="7" t="s">
        <v>978</v>
      </c>
      <c r="H95" s="25" t="s">
        <v>397</v>
      </c>
      <c r="I95" s="7" t="s">
        <v>802</v>
      </c>
      <c r="J95" t="s">
        <v>182</v>
      </c>
    </row>
    <row r="96" spans="7:10">
      <c r="G96" s="7" t="s">
        <v>978</v>
      </c>
      <c r="H96" s="25" t="s">
        <v>367</v>
      </c>
      <c r="I96" s="7" t="s">
        <v>1049</v>
      </c>
      <c r="J96" t="s">
        <v>182</v>
      </c>
    </row>
    <row r="97" spans="7:10">
      <c r="G97" s="7" t="s">
        <v>978</v>
      </c>
      <c r="H97" s="25" t="s">
        <v>397</v>
      </c>
      <c r="I97" s="7" t="s">
        <v>1049</v>
      </c>
      <c r="J97" t="s">
        <v>182</v>
      </c>
    </row>
    <row r="98" spans="7:10">
      <c r="G98" s="7" t="s">
        <v>978</v>
      </c>
      <c r="H98" s="25" t="s">
        <v>280</v>
      </c>
      <c r="I98" s="7" t="s">
        <v>486</v>
      </c>
      <c r="J98" t="s">
        <v>189</v>
      </c>
    </row>
    <row r="99" spans="7:10">
      <c r="G99" s="7" t="s">
        <v>978</v>
      </c>
      <c r="H99" s="25" t="s">
        <v>367</v>
      </c>
      <c r="I99" s="7" t="s">
        <v>1033</v>
      </c>
      <c r="J99" t="s">
        <v>182</v>
      </c>
    </row>
    <row r="100" spans="7:10">
      <c r="G100" s="7" t="s">
        <v>978</v>
      </c>
      <c r="H100" s="25" t="s">
        <v>397</v>
      </c>
      <c r="I100" s="7" t="s">
        <v>1033</v>
      </c>
      <c r="J100" t="s">
        <v>182</v>
      </c>
    </row>
    <row r="101" spans="7:10">
      <c r="G101" s="25" t="s">
        <v>978</v>
      </c>
      <c r="H101" s="25" t="s">
        <v>367</v>
      </c>
      <c r="I101" s="7" t="s">
        <v>1050</v>
      </c>
      <c r="J101" t="s">
        <v>182</v>
      </c>
    </row>
    <row r="102" spans="7:10">
      <c r="G102" s="25" t="s">
        <v>978</v>
      </c>
      <c r="H102" s="25" t="s">
        <v>397</v>
      </c>
      <c r="I102" s="7" t="s">
        <v>1050</v>
      </c>
      <c r="J102" t="s">
        <v>182</v>
      </c>
    </row>
    <row r="103" spans="7:10">
      <c r="G103" s="25" t="s">
        <v>978</v>
      </c>
      <c r="H103" s="25" t="s">
        <v>280</v>
      </c>
      <c r="I103" s="7" t="s">
        <v>490</v>
      </c>
      <c r="J103" t="s">
        <v>189</v>
      </c>
    </row>
    <row r="104" spans="7:10">
      <c r="G104" s="25" t="s">
        <v>980</v>
      </c>
      <c r="H104" s="25" t="s">
        <v>280</v>
      </c>
      <c r="I104" s="7" t="s">
        <v>474</v>
      </c>
      <c r="J104" t="s">
        <v>189</v>
      </c>
    </row>
    <row r="105" spans="7:10">
      <c r="G105" s="25" t="s">
        <v>980</v>
      </c>
      <c r="H105" s="25" t="s">
        <v>280</v>
      </c>
      <c r="I105" s="7" t="s">
        <v>477</v>
      </c>
      <c r="J105" t="s">
        <v>189</v>
      </c>
    </row>
    <row r="106" spans="7:10">
      <c r="G106" s="25" t="s">
        <v>980</v>
      </c>
      <c r="H106" s="25" t="s">
        <v>397</v>
      </c>
      <c r="I106" s="7" t="s">
        <v>802</v>
      </c>
      <c r="J106" t="s">
        <v>182</v>
      </c>
    </row>
    <row r="107" spans="7:10">
      <c r="G107" s="25" t="s">
        <v>980</v>
      </c>
      <c r="H107" s="25" t="s">
        <v>367</v>
      </c>
      <c r="I107" s="7" t="s">
        <v>1049</v>
      </c>
      <c r="J107" t="s">
        <v>182</v>
      </c>
    </row>
    <row r="108" spans="7:10">
      <c r="G108" s="25" t="s">
        <v>980</v>
      </c>
      <c r="H108" s="25" t="s">
        <v>397</v>
      </c>
      <c r="I108" s="7" t="s">
        <v>1049</v>
      </c>
      <c r="J108" t="s">
        <v>182</v>
      </c>
    </row>
    <row r="109" spans="7:10">
      <c r="G109" s="25" t="s">
        <v>980</v>
      </c>
      <c r="H109" s="25" t="s">
        <v>397</v>
      </c>
      <c r="I109" s="7" t="s">
        <v>1026</v>
      </c>
      <c r="J109" t="s">
        <v>191</v>
      </c>
    </row>
    <row r="110" spans="7:10">
      <c r="G110" s="25" t="s">
        <v>980</v>
      </c>
      <c r="H110" s="25" t="s">
        <v>389</v>
      </c>
      <c r="I110" s="7" t="s">
        <v>757</v>
      </c>
      <c r="J110" t="s">
        <v>182</v>
      </c>
    </row>
    <row r="111" spans="7:10">
      <c r="G111" s="25" t="s">
        <v>980</v>
      </c>
      <c r="H111" s="25" t="s">
        <v>389</v>
      </c>
      <c r="I111" s="7" t="s">
        <v>1027</v>
      </c>
      <c r="J111" t="s">
        <v>182</v>
      </c>
    </row>
    <row r="112" spans="7:10">
      <c r="G112" s="25" t="s">
        <v>980</v>
      </c>
      <c r="H112" s="25" t="s">
        <v>280</v>
      </c>
      <c r="I112" s="7" t="s">
        <v>486</v>
      </c>
      <c r="J112" t="s">
        <v>189</v>
      </c>
    </row>
    <row r="113" spans="7:10">
      <c r="G113" s="25" t="s">
        <v>980</v>
      </c>
      <c r="H113" s="25" t="s">
        <v>367</v>
      </c>
      <c r="I113" s="7" t="s">
        <v>1033</v>
      </c>
      <c r="J113" t="s">
        <v>182</v>
      </c>
    </row>
    <row r="114" spans="7:10">
      <c r="G114" s="25" t="s">
        <v>980</v>
      </c>
      <c r="H114" s="25" t="s">
        <v>397</v>
      </c>
      <c r="I114" s="7" t="s">
        <v>1033</v>
      </c>
      <c r="J114" t="s">
        <v>182</v>
      </c>
    </row>
    <row r="115" spans="7:10">
      <c r="G115" s="7" t="s">
        <v>980</v>
      </c>
      <c r="H115" s="25" t="s">
        <v>367</v>
      </c>
      <c r="I115" s="7" t="s">
        <v>1050</v>
      </c>
      <c r="J115" t="s">
        <v>182</v>
      </c>
    </row>
    <row r="116" spans="7:10">
      <c r="G116" s="7" t="s">
        <v>980</v>
      </c>
      <c r="H116" s="25" t="s">
        <v>397</v>
      </c>
      <c r="I116" s="7" t="s">
        <v>1050</v>
      </c>
      <c r="J116" t="s">
        <v>182</v>
      </c>
    </row>
    <row r="117" spans="7:10">
      <c r="G117" s="7" t="s">
        <v>969</v>
      </c>
      <c r="H117" s="25" t="s">
        <v>280</v>
      </c>
      <c r="I117" s="7" t="s">
        <v>486</v>
      </c>
      <c r="J117" t="s">
        <v>189</v>
      </c>
    </row>
    <row r="118" spans="7:10">
      <c r="G118" s="7" t="s">
        <v>969</v>
      </c>
      <c r="H118" s="25" t="s">
        <v>367</v>
      </c>
      <c r="I118" s="7" t="s">
        <v>1033</v>
      </c>
      <c r="J118" t="s">
        <v>182</v>
      </c>
    </row>
    <row r="119" spans="7:10">
      <c r="G119" s="7" t="s">
        <v>969</v>
      </c>
      <c r="H119" s="25" t="s">
        <v>397</v>
      </c>
      <c r="I119" s="7" t="s">
        <v>1033</v>
      </c>
      <c r="J119" t="s">
        <v>182</v>
      </c>
    </row>
    <row r="120" spans="7:10">
      <c r="G120" s="7" t="s">
        <v>969</v>
      </c>
      <c r="H120" s="25" t="s">
        <v>367</v>
      </c>
      <c r="I120" s="7" t="s">
        <v>1050</v>
      </c>
      <c r="J120" t="s">
        <v>182</v>
      </c>
    </row>
    <row r="121" spans="7:10">
      <c r="G121" s="7" t="s">
        <v>969</v>
      </c>
      <c r="H121" s="25" t="s">
        <v>397</v>
      </c>
      <c r="I121" s="7" t="s">
        <v>1050</v>
      </c>
      <c r="J121" t="s">
        <v>182</v>
      </c>
    </row>
    <row r="122" spans="7:10">
      <c r="G122" s="7" t="s">
        <v>969</v>
      </c>
      <c r="H122" s="25" t="s">
        <v>280</v>
      </c>
      <c r="I122" s="7" t="s">
        <v>490</v>
      </c>
      <c r="J122" t="s">
        <v>189</v>
      </c>
    </row>
    <row r="123" spans="7:10">
      <c r="G123" s="7" t="s">
        <v>971</v>
      </c>
      <c r="H123" s="25" t="s">
        <v>280</v>
      </c>
      <c r="I123" s="7" t="s">
        <v>477</v>
      </c>
      <c r="J123" t="s">
        <v>189</v>
      </c>
    </row>
    <row r="124" spans="7:10">
      <c r="G124" s="7" t="s">
        <v>971</v>
      </c>
      <c r="H124" s="25" t="s">
        <v>280</v>
      </c>
      <c r="I124" s="7" t="s">
        <v>477</v>
      </c>
      <c r="J124" t="s">
        <v>189</v>
      </c>
    </row>
    <row r="125" spans="7:10">
      <c r="G125" s="7" t="s">
        <v>971</v>
      </c>
      <c r="H125" s="25" t="s">
        <v>367</v>
      </c>
      <c r="I125" s="7" t="s">
        <v>802</v>
      </c>
      <c r="J125" t="s">
        <v>182</v>
      </c>
    </row>
    <row r="126" spans="7:10">
      <c r="G126" s="7" t="s">
        <v>971</v>
      </c>
      <c r="H126" s="25" t="s">
        <v>397</v>
      </c>
      <c r="I126" s="7" t="s">
        <v>802</v>
      </c>
      <c r="J126" t="s">
        <v>182</v>
      </c>
    </row>
    <row r="127" spans="7:10">
      <c r="G127" s="7" t="s">
        <v>971</v>
      </c>
      <c r="H127" s="25" t="s">
        <v>367</v>
      </c>
      <c r="I127" s="7" t="s">
        <v>1049</v>
      </c>
      <c r="J127" t="s">
        <v>182</v>
      </c>
    </row>
    <row r="128" spans="7:10">
      <c r="G128" s="7" t="s">
        <v>971</v>
      </c>
      <c r="H128" s="25" t="s">
        <v>397</v>
      </c>
      <c r="I128" s="7" t="s">
        <v>1049</v>
      </c>
      <c r="J128" t="s">
        <v>182</v>
      </c>
    </row>
    <row r="129" spans="7:10">
      <c r="G129" s="7" t="s">
        <v>971</v>
      </c>
      <c r="H129" s="25" t="s">
        <v>280</v>
      </c>
      <c r="I129" s="7" t="s">
        <v>486</v>
      </c>
      <c r="J129" t="s">
        <v>189</v>
      </c>
    </row>
    <row r="130" spans="7:10">
      <c r="G130" s="7" t="s">
        <v>971</v>
      </c>
      <c r="H130" s="25" t="s">
        <v>367</v>
      </c>
      <c r="I130" s="7" t="s">
        <v>1033</v>
      </c>
      <c r="J130" t="s">
        <v>182</v>
      </c>
    </row>
    <row r="131" spans="7:10">
      <c r="G131" s="7" t="s">
        <v>971</v>
      </c>
      <c r="H131" s="25" t="s">
        <v>397</v>
      </c>
      <c r="I131" s="7" t="s">
        <v>1033</v>
      </c>
      <c r="J131" t="s">
        <v>182</v>
      </c>
    </row>
    <row r="132" spans="7:10">
      <c r="G132" s="7" t="s">
        <v>971</v>
      </c>
      <c r="H132" s="25" t="s">
        <v>367</v>
      </c>
      <c r="I132" s="7" t="s">
        <v>1050</v>
      </c>
      <c r="J132" t="s">
        <v>182</v>
      </c>
    </row>
    <row r="133" spans="7:10">
      <c r="G133" s="7" t="s">
        <v>971</v>
      </c>
      <c r="H133" s="25" t="s">
        <v>397</v>
      </c>
      <c r="I133" s="7" t="s">
        <v>1050</v>
      </c>
      <c r="J133" t="s">
        <v>182</v>
      </c>
    </row>
    <row r="134" spans="7:10">
      <c r="G134" s="7" t="s">
        <v>971</v>
      </c>
      <c r="H134" s="25" t="s">
        <v>280</v>
      </c>
      <c r="I134" s="7" t="s">
        <v>490</v>
      </c>
      <c r="J134" t="s">
        <v>189</v>
      </c>
    </row>
    <row r="135" spans="7:10">
      <c r="G135" s="7" t="s">
        <v>974</v>
      </c>
      <c r="H135" s="25" t="s">
        <v>280</v>
      </c>
      <c r="I135" s="7" t="s">
        <v>477</v>
      </c>
      <c r="J135" t="s">
        <v>189</v>
      </c>
    </row>
    <row r="136" spans="7:10">
      <c r="G136" s="7" t="s">
        <v>974</v>
      </c>
      <c r="H136" s="25" t="s">
        <v>280</v>
      </c>
      <c r="I136" s="7" t="s">
        <v>477</v>
      </c>
      <c r="J136" t="s">
        <v>189</v>
      </c>
    </row>
    <row r="137" spans="7:10">
      <c r="G137" s="7" t="s">
        <v>974</v>
      </c>
      <c r="H137" s="25" t="s">
        <v>367</v>
      </c>
      <c r="I137" s="7" t="s">
        <v>802</v>
      </c>
      <c r="J137" t="s">
        <v>182</v>
      </c>
    </row>
    <row r="138" spans="7:10">
      <c r="G138" s="7" t="s">
        <v>974</v>
      </c>
      <c r="H138" s="25" t="s">
        <v>397</v>
      </c>
      <c r="I138" s="7" t="s">
        <v>802</v>
      </c>
      <c r="J138" t="s">
        <v>182</v>
      </c>
    </row>
    <row r="139" spans="7:10">
      <c r="G139" s="7" t="s">
        <v>974</v>
      </c>
      <c r="H139" s="25" t="s">
        <v>367</v>
      </c>
      <c r="I139" s="7" t="s">
        <v>1049</v>
      </c>
      <c r="J139" t="s">
        <v>182</v>
      </c>
    </row>
    <row r="140" spans="7:10">
      <c r="G140" s="7" t="s">
        <v>974</v>
      </c>
      <c r="H140" s="25" t="s">
        <v>397</v>
      </c>
      <c r="I140" s="7" t="s">
        <v>1049</v>
      </c>
      <c r="J140" t="s">
        <v>182</v>
      </c>
    </row>
    <row r="141" spans="7:10">
      <c r="G141" s="7" t="s">
        <v>974</v>
      </c>
      <c r="H141" s="25" t="s">
        <v>280</v>
      </c>
      <c r="I141" s="7" t="s">
        <v>486</v>
      </c>
      <c r="J141" t="s">
        <v>189</v>
      </c>
    </row>
    <row r="142" spans="7:10">
      <c r="G142" s="7" t="s">
        <v>974</v>
      </c>
      <c r="H142" s="25" t="s">
        <v>367</v>
      </c>
      <c r="I142" s="7" t="s">
        <v>1033</v>
      </c>
      <c r="J142" t="s">
        <v>182</v>
      </c>
    </row>
    <row r="143" spans="7:10">
      <c r="G143" s="7" t="s">
        <v>974</v>
      </c>
      <c r="H143" s="25" t="s">
        <v>397</v>
      </c>
      <c r="I143" s="7" t="s">
        <v>1033</v>
      </c>
      <c r="J143" t="s">
        <v>182</v>
      </c>
    </row>
    <row r="144" spans="7:10">
      <c r="G144" s="7" t="s">
        <v>974</v>
      </c>
      <c r="H144" s="25" t="s">
        <v>367</v>
      </c>
      <c r="I144" s="7" t="s">
        <v>1050</v>
      </c>
      <c r="J144" t="s">
        <v>182</v>
      </c>
    </row>
    <row r="145" spans="7:10">
      <c r="G145" s="7" t="s">
        <v>974</v>
      </c>
      <c r="H145" s="25" t="s">
        <v>397</v>
      </c>
      <c r="I145" s="7" t="s">
        <v>1050</v>
      </c>
      <c r="J145" t="s">
        <v>182</v>
      </c>
    </row>
    <row r="146" spans="7:10">
      <c r="G146" s="7" t="s">
        <v>974</v>
      </c>
      <c r="H146" s="25" t="s">
        <v>280</v>
      </c>
      <c r="I146" s="7" t="s">
        <v>490</v>
      </c>
      <c r="J146" t="s">
        <v>189</v>
      </c>
    </row>
    <row r="147" spans="7:10">
      <c r="G147" s="7" t="s">
        <v>980</v>
      </c>
      <c r="H147" s="25" t="s">
        <v>280</v>
      </c>
      <c r="I147" s="7" t="s">
        <v>490</v>
      </c>
      <c r="J147" t="s">
        <v>189</v>
      </c>
    </row>
    <row r="148" spans="7:10">
      <c r="G148" s="7" t="s">
        <v>982</v>
      </c>
      <c r="H148" s="25" t="s">
        <v>280</v>
      </c>
      <c r="I148" s="7" t="s">
        <v>474</v>
      </c>
      <c r="J148" t="s">
        <v>189</v>
      </c>
    </row>
    <row r="149" spans="7:10">
      <c r="G149" s="7" t="s">
        <v>982</v>
      </c>
      <c r="H149" s="25" t="s">
        <v>280</v>
      </c>
      <c r="I149" s="7" t="s">
        <v>477</v>
      </c>
      <c r="J149" t="s">
        <v>189</v>
      </c>
    </row>
    <row r="150" spans="7:10">
      <c r="G150" s="7" t="s">
        <v>982</v>
      </c>
      <c r="H150" s="25" t="s">
        <v>397</v>
      </c>
      <c r="I150" s="7" t="s">
        <v>802</v>
      </c>
      <c r="J150" t="s">
        <v>182</v>
      </c>
    </row>
    <row r="151" spans="7:10">
      <c r="G151" s="7" t="s">
        <v>982</v>
      </c>
      <c r="H151" s="25" t="s">
        <v>367</v>
      </c>
      <c r="I151" s="7" t="s">
        <v>1049</v>
      </c>
      <c r="J151" t="s">
        <v>182</v>
      </c>
    </row>
    <row r="152" spans="7:10">
      <c r="G152" s="7" t="s">
        <v>982</v>
      </c>
      <c r="H152" s="25" t="s">
        <v>397</v>
      </c>
      <c r="I152" s="7" t="s">
        <v>1049</v>
      </c>
      <c r="J152" t="s">
        <v>182</v>
      </c>
    </row>
    <row r="153" spans="7:10">
      <c r="G153" s="7" t="s">
        <v>982</v>
      </c>
      <c r="H153" s="25" t="s">
        <v>397</v>
      </c>
      <c r="I153" s="7" t="s">
        <v>1026</v>
      </c>
      <c r="J153" t="s">
        <v>191</v>
      </c>
    </row>
    <row r="154" spans="7:10">
      <c r="G154" s="7" t="s">
        <v>982</v>
      </c>
      <c r="H154" s="25" t="s">
        <v>389</v>
      </c>
      <c r="I154" s="7" t="s">
        <v>757</v>
      </c>
      <c r="J154" t="s">
        <v>182</v>
      </c>
    </row>
    <row r="155" spans="7:10">
      <c r="G155" s="7" t="s">
        <v>982</v>
      </c>
      <c r="H155" s="25" t="s">
        <v>389</v>
      </c>
      <c r="I155" s="7" t="s">
        <v>1027</v>
      </c>
      <c r="J155" t="s">
        <v>182</v>
      </c>
    </row>
    <row r="156" spans="7:10">
      <c r="G156" s="7" t="s">
        <v>1007</v>
      </c>
      <c r="H156" s="25" t="s">
        <v>367</v>
      </c>
      <c r="I156" s="7" t="s">
        <v>1049</v>
      </c>
      <c r="J156" t="s">
        <v>182</v>
      </c>
    </row>
    <row r="157" spans="7:10">
      <c r="G157" s="7" t="s">
        <v>1007</v>
      </c>
      <c r="H157" s="25" t="s">
        <v>397</v>
      </c>
      <c r="I157" s="7" t="s">
        <v>1049</v>
      </c>
      <c r="J157" t="s">
        <v>182</v>
      </c>
    </row>
    <row r="158" spans="7:10">
      <c r="G158" s="7" t="s">
        <v>1007</v>
      </c>
      <c r="H158" s="25" t="s">
        <v>397</v>
      </c>
      <c r="I158" s="7" t="s">
        <v>1026</v>
      </c>
      <c r="J158" t="s">
        <v>191</v>
      </c>
    </row>
    <row r="159" spans="7:10">
      <c r="G159" s="7" t="s">
        <v>1007</v>
      </c>
      <c r="H159" s="25" t="s">
        <v>389</v>
      </c>
      <c r="I159" s="7" t="s">
        <v>757</v>
      </c>
      <c r="J159" t="s">
        <v>182</v>
      </c>
    </row>
    <row r="160" spans="7:10">
      <c r="G160" s="7" t="s">
        <v>1007</v>
      </c>
      <c r="H160" s="25" t="s">
        <v>389</v>
      </c>
      <c r="I160" s="7" t="s">
        <v>1027</v>
      </c>
      <c r="J160" t="s">
        <v>182</v>
      </c>
    </row>
    <row r="161" spans="7:10">
      <c r="G161" s="7" t="s">
        <v>1007</v>
      </c>
      <c r="H161" s="25" t="s">
        <v>280</v>
      </c>
      <c r="I161" s="7" t="s">
        <v>486</v>
      </c>
      <c r="J161" t="s">
        <v>189</v>
      </c>
    </row>
    <row r="162" spans="7:10">
      <c r="G162" s="7" t="s">
        <v>1007</v>
      </c>
      <c r="H162" s="25" t="s">
        <v>367</v>
      </c>
      <c r="I162" s="7" t="s">
        <v>1033</v>
      </c>
      <c r="J162" t="s">
        <v>182</v>
      </c>
    </row>
    <row r="163" spans="7:10">
      <c r="G163" s="7" t="s">
        <v>1007</v>
      </c>
      <c r="H163" s="25" t="s">
        <v>397</v>
      </c>
      <c r="I163" s="7" t="s">
        <v>1033</v>
      </c>
      <c r="J163" t="s">
        <v>182</v>
      </c>
    </row>
    <row r="164" spans="7:10">
      <c r="G164" s="7" t="s">
        <v>1007</v>
      </c>
      <c r="H164" s="25" t="s">
        <v>367</v>
      </c>
      <c r="I164" s="7" t="s">
        <v>1050</v>
      </c>
      <c r="J164" t="s">
        <v>182</v>
      </c>
    </row>
    <row r="165" spans="7:10">
      <c r="G165" s="7" t="s">
        <v>1007</v>
      </c>
      <c r="H165" s="25" t="s">
        <v>397</v>
      </c>
      <c r="I165" s="7" t="s">
        <v>1050</v>
      </c>
      <c r="J165" t="s">
        <v>182</v>
      </c>
    </row>
    <row r="166" spans="7:10">
      <c r="G166" s="7" t="s">
        <v>1007</v>
      </c>
      <c r="H166" s="25" t="s">
        <v>280</v>
      </c>
      <c r="I166" s="7" t="s">
        <v>490</v>
      </c>
      <c r="J166" t="s">
        <v>189</v>
      </c>
    </row>
    <row r="167" spans="7:10">
      <c r="G167" s="7" t="s">
        <v>982</v>
      </c>
      <c r="H167" s="25" t="s">
        <v>280</v>
      </c>
      <c r="I167" s="7" t="s">
        <v>486</v>
      </c>
      <c r="J167" t="s">
        <v>189</v>
      </c>
    </row>
    <row r="168" spans="7:10">
      <c r="G168" s="7" t="s">
        <v>982</v>
      </c>
      <c r="H168" s="25" t="s">
        <v>367</v>
      </c>
      <c r="I168" s="7" t="s">
        <v>1033</v>
      </c>
      <c r="J168" t="s">
        <v>182</v>
      </c>
    </row>
    <row r="169" spans="7:10">
      <c r="G169" s="7" t="s">
        <v>982</v>
      </c>
      <c r="H169" s="25" t="s">
        <v>397</v>
      </c>
      <c r="I169" s="7" t="s">
        <v>1033</v>
      </c>
      <c r="J169" t="s">
        <v>182</v>
      </c>
    </row>
    <row r="170" spans="7:10">
      <c r="G170" s="7" t="s">
        <v>982</v>
      </c>
      <c r="H170" s="25" t="s">
        <v>367</v>
      </c>
      <c r="I170" s="7" t="s">
        <v>1050</v>
      </c>
      <c r="J170" t="s">
        <v>182</v>
      </c>
    </row>
    <row r="171" spans="7:10">
      <c r="G171" s="7" t="s">
        <v>982</v>
      </c>
      <c r="H171" s="25" t="s">
        <v>397</v>
      </c>
      <c r="I171" s="7" t="s">
        <v>1050</v>
      </c>
      <c r="J171" t="s">
        <v>182</v>
      </c>
    </row>
    <row r="172" spans="7:10">
      <c r="G172" s="7" t="s">
        <v>982</v>
      </c>
      <c r="H172" s="25" t="s">
        <v>280</v>
      </c>
      <c r="I172" s="7" t="s">
        <v>490</v>
      </c>
      <c r="J172" t="s">
        <v>189</v>
      </c>
    </row>
    <row r="173" spans="7:10">
      <c r="G173" s="7" t="s">
        <v>997</v>
      </c>
      <c r="H173" s="25" t="s">
        <v>280</v>
      </c>
      <c r="I173" s="7" t="s">
        <v>474</v>
      </c>
      <c r="J173" t="s">
        <v>189</v>
      </c>
    </row>
    <row r="174" spans="7:10">
      <c r="G174" s="7" t="s">
        <v>997</v>
      </c>
      <c r="H174" s="25" t="s">
        <v>280</v>
      </c>
      <c r="I174" s="7" t="s">
        <v>477</v>
      </c>
      <c r="J174" t="s">
        <v>189</v>
      </c>
    </row>
    <row r="175" spans="7:10">
      <c r="G175" s="7" t="s">
        <v>997</v>
      </c>
      <c r="H175" s="25" t="s">
        <v>397</v>
      </c>
      <c r="I175" s="7" t="s">
        <v>802</v>
      </c>
      <c r="J175" t="s">
        <v>182</v>
      </c>
    </row>
    <row r="176" spans="7:10">
      <c r="G176" s="7" t="s">
        <v>997</v>
      </c>
      <c r="H176" s="25" t="s">
        <v>367</v>
      </c>
      <c r="I176" s="7" t="s">
        <v>1049</v>
      </c>
      <c r="J176" t="s">
        <v>182</v>
      </c>
    </row>
    <row r="177" spans="7:10">
      <c r="G177" s="7" t="s">
        <v>997</v>
      </c>
      <c r="H177" s="25" t="s">
        <v>397</v>
      </c>
      <c r="I177" s="7" t="s">
        <v>1049</v>
      </c>
      <c r="J177" t="s">
        <v>182</v>
      </c>
    </row>
    <row r="178" spans="7:10">
      <c r="G178" s="7" t="s">
        <v>997</v>
      </c>
      <c r="H178" s="25" t="s">
        <v>397</v>
      </c>
      <c r="I178" s="7" t="s">
        <v>1026</v>
      </c>
      <c r="J178" t="s">
        <v>191</v>
      </c>
    </row>
    <row r="179" spans="7:10">
      <c r="G179" s="7" t="s">
        <v>997</v>
      </c>
      <c r="H179" s="25" t="s">
        <v>389</v>
      </c>
      <c r="I179" s="7" t="s">
        <v>757</v>
      </c>
      <c r="J179" t="s">
        <v>182</v>
      </c>
    </row>
    <row r="180" spans="7:10">
      <c r="G180" s="7" t="s">
        <v>997</v>
      </c>
      <c r="H180" s="25" t="s">
        <v>389</v>
      </c>
      <c r="I180" s="7" t="s">
        <v>1027</v>
      </c>
      <c r="J180" t="s">
        <v>182</v>
      </c>
    </row>
    <row r="181" spans="7:10">
      <c r="G181" s="7" t="s">
        <v>997</v>
      </c>
      <c r="H181" s="25" t="s">
        <v>280</v>
      </c>
      <c r="I181" s="7" t="s">
        <v>486</v>
      </c>
      <c r="J181" t="s">
        <v>189</v>
      </c>
    </row>
    <row r="182" spans="7:10">
      <c r="G182" s="7" t="s">
        <v>997</v>
      </c>
      <c r="H182" s="25" t="s">
        <v>367</v>
      </c>
      <c r="I182" s="7" t="s">
        <v>1033</v>
      </c>
      <c r="J182" t="s">
        <v>182</v>
      </c>
    </row>
    <row r="183" spans="7:10">
      <c r="G183" s="7" t="s">
        <v>997</v>
      </c>
      <c r="H183" s="25" t="s">
        <v>397</v>
      </c>
      <c r="I183" s="7" t="s">
        <v>1033</v>
      </c>
      <c r="J183" t="s">
        <v>182</v>
      </c>
    </row>
    <row r="184" spans="7:10">
      <c r="G184" s="7" t="s">
        <v>997</v>
      </c>
      <c r="H184" s="25" t="s">
        <v>367</v>
      </c>
      <c r="I184" s="7" t="s">
        <v>1050</v>
      </c>
      <c r="J184" t="s">
        <v>182</v>
      </c>
    </row>
    <row r="185" spans="7:10">
      <c r="G185" s="7" t="s">
        <v>997</v>
      </c>
      <c r="H185" s="25" t="s">
        <v>397</v>
      </c>
      <c r="I185" s="7" t="s">
        <v>1050</v>
      </c>
      <c r="J185" t="s">
        <v>182</v>
      </c>
    </row>
    <row r="186" spans="7:10">
      <c r="G186" s="7" t="s">
        <v>997</v>
      </c>
      <c r="H186" s="25" t="s">
        <v>280</v>
      </c>
      <c r="I186" s="7" t="s">
        <v>490</v>
      </c>
      <c r="J186" t="s">
        <v>189</v>
      </c>
    </row>
    <row r="187" spans="7:10">
      <c r="G187" s="7" t="s">
        <v>999</v>
      </c>
      <c r="H187" s="25" t="s">
        <v>280</v>
      </c>
      <c r="I187" s="7" t="s">
        <v>474</v>
      </c>
      <c r="J187" t="s">
        <v>189</v>
      </c>
    </row>
    <row r="188" spans="7:10">
      <c r="G188" s="7" t="s">
        <v>999</v>
      </c>
      <c r="H188" s="25" t="s">
        <v>280</v>
      </c>
      <c r="I188" s="7" t="s">
        <v>477</v>
      </c>
      <c r="J188" t="s">
        <v>189</v>
      </c>
    </row>
    <row r="189" spans="7:10">
      <c r="G189" s="7" t="s">
        <v>999</v>
      </c>
      <c r="H189" s="25" t="s">
        <v>397</v>
      </c>
      <c r="I189" s="7" t="s">
        <v>802</v>
      </c>
      <c r="J189" t="s">
        <v>182</v>
      </c>
    </row>
    <row r="190" spans="7:10">
      <c r="G190" s="7" t="s">
        <v>999</v>
      </c>
      <c r="H190" s="25" t="s">
        <v>367</v>
      </c>
      <c r="I190" s="7" t="s">
        <v>1049</v>
      </c>
      <c r="J190" t="s">
        <v>182</v>
      </c>
    </row>
    <row r="191" spans="7:10">
      <c r="G191" s="7" t="s">
        <v>999</v>
      </c>
      <c r="H191" s="25" t="s">
        <v>397</v>
      </c>
      <c r="I191" s="7" t="s">
        <v>1049</v>
      </c>
      <c r="J191" t="s">
        <v>182</v>
      </c>
    </row>
    <row r="192" spans="7:10">
      <c r="G192" s="7" t="s">
        <v>999</v>
      </c>
      <c r="H192" s="25" t="s">
        <v>397</v>
      </c>
      <c r="I192" s="7" t="s">
        <v>1026</v>
      </c>
      <c r="J192" t="s">
        <v>191</v>
      </c>
    </row>
    <row r="193" spans="7:10">
      <c r="G193" s="7" t="s">
        <v>999</v>
      </c>
      <c r="H193" s="25" t="s">
        <v>389</v>
      </c>
      <c r="I193" s="7" t="s">
        <v>757</v>
      </c>
      <c r="J193" t="s">
        <v>182</v>
      </c>
    </row>
    <row r="194" spans="7:10">
      <c r="G194" s="7" t="s">
        <v>999</v>
      </c>
      <c r="H194" s="25" t="s">
        <v>389</v>
      </c>
      <c r="I194" s="7" t="s">
        <v>1027</v>
      </c>
      <c r="J194" t="s">
        <v>182</v>
      </c>
    </row>
    <row r="195" spans="7:10">
      <c r="G195" s="7" t="s">
        <v>999</v>
      </c>
      <c r="H195" s="25" t="s">
        <v>280</v>
      </c>
      <c r="I195" s="7" t="s">
        <v>486</v>
      </c>
      <c r="J195" t="s">
        <v>189</v>
      </c>
    </row>
    <row r="196" spans="7:10">
      <c r="G196" s="7" t="s">
        <v>999</v>
      </c>
      <c r="H196" s="25" t="s">
        <v>367</v>
      </c>
      <c r="I196" s="7" t="s">
        <v>1033</v>
      </c>
      <c r="J196" t="s">
        <v>182</v>
      </c>
    </row>
    <row r="197" spans="7:10">
      <c r="G197" s="7" t="s">
        <v>999</v>
      </c>
      <c r="H197" s="25" t="s">
        <v>397</v>
      </c>
      <c r="I197" s="7" t="s">
        <v>1033</v>
      </c>
      <c r="J197" t="s">
        <v>182</v>
      </c>
    </row>
    <row r="198" spans="7:10">
      <c r="G198" s="7" t="s">
        <v>999</v>
      </c>
      <c r="H198" s="25" t="s">
        <v>367</v>
      </c>
      <c r="I198" s="7" t="s">
        <v>1050</v>
      </c>
      <c r="J198" t="s">
        <v>182</v>
      </c>
    </row>
    <row r="199" spans="7:10">
      <c r="G199" s="7" t="s">
        <v>999</v>
      </c>
      <c r="H199" s="25" t="s">
        <v>397</v>
      </c>
      <c r="I199" s="7" t="s">
        <v>1050</v>
      </c>
      <c r="J199" t="s">
        <v>182</v>
      </c>
    </row>
    <row r="200" spans="7:10">
      <c r="G200" s="7" t="s">
        <v>999</v>
      </c>
      <c r="H200" s="25" t="s">
        <v>280</v>
      </c>
      <c r="I200" s="7" t="s">
        <v>490</v>
      </c>
      <c r="J200" t="s">
        <v>189</v>
      </c>
    </row>
    <row r="201" spans="7:10">
      <c r="G201" s="7" t="s">
        <v>1005</v>
      </c>
      <c r="H201" s="25" t="s">
        <v>397</v>
      </c>
      <c r="I201" s="7" t="s">
        <v>1050</v>
      </c>
      <c r="J201" t="s">
        <v>182</v>
      </c>
    </row>
    <row r="202" spans="7:10">
      <c r="G202" s="7" t="s">
        <v>1005</v>
      </c>
      <c r="H202" s="25" t="s">
        <v>280</v>
      </c>
      <c r="I202" s="7" t="s">
        <v>490</v>
      </c>
      <c r="J202" t="s">
        <v>189</v>
      </c>
    </row>
    <row r="203" spans="7:10">
      <c r="G203" s="7" t="s">
        <v>1007</v>
      </c>
      <c r="H203" s="25" t="s">
        <v>280</v>
      </c>
      <c r="I203" s="7" t="s">
        <v>474</v>
      </c>
      <c r="J203" t="s">
        <v>189</v>
      </c>
    </row>
    <row r="204" spans="7:10">
      <c r="G204" s="7" t="s">
        <v>1007</v>
      </c>
      <c r="H204" s="25" t="s">
        <v>280</v>
      </c>
      <c r="I204" s="7" t="s">
        <v>477</v>
      </c>
      <c r="J204" t="s">
        <v>189</v>
      </c>
    </row>
    <row r="205" spans="7:10">
      <c r="G205" s="7" t="s">
        <v>1007</v>
      </c>
      <c r="H205" s="25" t="s">
        <v>397</v>
      </c>
      <c r="I205" s="7" t="s">
        <v>802</v>
      </c>
      <c r="J205" t="s">
        <v>182</v>
      </c>
    </row>
    <row r="213" spans="7:7">
      <c r="G213" s="25"/>
    </row>
    <row r="214" spans="7:7">
      <c r="G214" s="25"/>
    </row>
    <row r="215" spans="7:7">
      <c r="G215" s="25"/>
    </row>
    <row r="216" spans="7:7">
      <c r="G216" s="25"/>
    </row>
    <row r="217" spans="7:7">
      <c r="G217" s="25"/>
    </row>
    <row r="218" spans="7:7">
      <c r="G218" s="25"/>
    </row>
    <row r="219" spans="7:7">
      <c r="G219" s="25"/>
    </row>
    <row r="220" spans="7:7">
      <c r="G220" s="25"/>
    </row>
    <row r="221" spans="7:7">
      <c r="G221" s="25"/>
    </row>
    <row r="222" spans="7:7">
      <c r="G222" s="25"/>
    </row>
    <row r="223" spans="7:7">
      <c r="G223" s="25"/>
    </row>
    <row r="224" spans="7:7">
      <c r="G224" s="25"/>
    </row>
    <row r="238" spans="7:7">
      <c r="G238" s="25"/>
    </row>
    <row r="242" spans="7:7">
      <c r="G242" s="25"/>
    </row>
    <row r="245" spans="7:7">
      <c r="G245" s="25"/>
    </row>
    <row r="246" spans="7:7">
      <c r="G246" s="25"/>
    </row>
    <row r="247" spans="7:7">
      <c r="G247" s="25"/>
    </row>
    <row r="248" spans="7:7">
      <c r="G248" s="25"/>
    </row>
    <row r="291" spans="7:7">
      <c r="G291" s="25"/>
    </row>
    <row r="292" spans="7:7">
      <c r="G292" s="25"/>
    </row>
    <row r="293" spans="7:7">
      <c r="G293" s="25"/>
    </row>
    <row r="294" spans="7:7">
      <c r="G294" s="25"/>
    </row>
    <row r="295" spans="7:7">
      <c r="G295" s="25"/>
    </row>
    <row r="297" spans="7:7">
      <c r="G297" s="25"/>
    </row>
    <row r="298" spans="7:7">
      <c r="G298" s="25"/>
    </row>
    <row r="304" spans="7:7">
      <c r="G304" s="25"/>
    </row>
    <row r="305" spans="7:7">
      <c r="G305" s="25"/>
    </row>
    <row r="306" spans="7:7">
      <c r="G306" s="25"/>
    </row>
    <row r="307" spans="7:7">
      <c r="G307" s="25"/>
    </row>
    <row r="308" spans="7:7">
      <c r="G308" s="25"/>
    </row>
    <row r="309" spans="7:7">
      <c r="G309" s="25"/>
    </row>
    <row r="310" spans="7:7">
      <c r="G310" s="25"/>
    </row>
  </sheetData>
  <autoFilter ref="G2:J205" xr:uid="{00000000-0009-0000-0000-000007000000}"/>
  <phoneticPr fontId="5" type="noConversion"/>
  <printOptions gridLines="1"/>
  <pageMargins left="0.31496062992126" right="0.31496062992126" top="0.35433070866141703" bottom="0.15748031496063" header="0.31496062992126" footer="0.31496062992126"/>
  <pageSetup paperSize="9" scale="76" fitToHeight="1000" orientation="portrait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XDZ449"/>
  <sheetViews>
    <sheetView workbookViewId="0">
      <pane xSplit="6" ySplit="2" topLeftCell="G83" activePane="bottomRight" state="frozen"/>
      <selection pane="topRight" activeCell="F1" sqref="F1"/>
      <selection pane="bottomLeft" activeCell="A3" sqref="A3"/>
      <selection pane="bottomRight" activeCell="D102" sqref="D102"/>
    </sheetView>
  </sheetViews>
  <sheetFormatPr defaultRowHeight="15"/>
  <cols>
    <col min="1" max="1" width="10.140625" style="35" bestFit="1" customWidth="1"/>
    <col min="2" max="2" width="9.140625" style="35" bestFit="1" customWidth="1"/>
    <col min="3" max="3" width="19.85546875" style="35" bestFit="1" customWidth="1"/>
    <col min="4" max="4" width="14.28515625" style="35" bestFit="1" customWidth="1"/>
    <col min="5" max="5" width="9.5703125" style="28" bestFit="1" customWidth="1"/>
    <col min="6" max="6" width="11" style="28" bestFit="1" customWidth="1"/>
    <col min="7" max="7" width="41.7109375" style="29" bestFit="1" customWidth="1"/>
    <col min="8" max="8" width="16.85546875" style="30" bestFit="1" customWidth="1"/>
    <col min="9" max="9" width="35" style="29" bestFit="1" customWidth="1"/>
    <col min="10" max="10" width="18.85546875" style="28" bestFit="1" customWidth="1"/>
    <col min="11" max="16353" width="9.140625" style="28"/>
    <col min="16354" max="16354" width="36.7109375" style="28" bestFit="1" customWidth="1"/>
    <col min="16355" max="16357" width="9.140625" style="28"/>
    <col min="16358" max="16358" width="31.5703125" style="28" bestFit="1" customWidth="1"/>
    <col min="16359" max="16384" width="9.140625" style="28"/>
  </cols>
  <sheetData>
    <row r="1" spans="1:10 16354:16354" ht="36" customHeight="1"/>
    <row r="2" spans="1:10 16354:16354">
      <c r="A2" s="58" t="s">
        <v>0</v>
      </c>
      <c r="B2" s="58" t="s">
        <v>1</v>
      </c>
      <c r="C2" s="58" t="s">
        <v>885</v>
      </c>
      <c r="D2" s="58" t="s">
        <v>886</v>
      </c>
      <c r="E2" s="31" t="s">
        <v>887</v>
      </c>
      <c r="F2" s="31" t="s">
        <v>888</v>
      </c>
      <c r="G2" s="32" t="s">
        <v>889</v>
      </c>
      <c r="H2" s="32" t="s">
        <v>1</v>
      </c>
      <c r="I2" s="32" t="s">
        <v>890</v>
      </c>
      <c r="J2" s="28" t="s">
        <v>891</v>
      </c>
      <c r="XDZ2" s="29"/>
    </row>
    <row r="3" spans="1:10 16354:16354">
      <c r="A3" s="59" t="s">
        <v>47</v>
      </c>
      <c r="B3" s="59" t="s">
        <v>396</v>
      </c>
      <c r="C3" s="59" t="s">
        <v>473</v>
      </c>
      <c r="D3" s="59" t="s">
        <v>181</v>
      </c>
      <c r="E3" s="33">
        <v>1.2</v>
      </c>
      <c r="F3" s="33">
        <v>999999999</v>
      </c>
      <c r="G3" s="29" t="s">
        <v>120</v>
      </c>
      <c r="H3" s="30" t="s">
        <v>397</v>
      </c>
      <c r="I3" s="29" t="s">
        <v>474</v>
      </c>
      <c r="J3" s="28" t="s">
        <v>182</v>
      </c>
    </row>
    <row r="4" spans="1:10 16354:16354">
      <c r="A4" s="59" t="s">
        <v>50</v>
      </c>
      <c r="B4" s="59" t="s">
        <v>536</v>
      </c>
      <c r="C4" s="59" t="s">
        <v>473</v>
      </c>
      <c r="D4" s="59" t="s">
        <v>184</v>
      </c>
      <c r="E4" s="33">
        <v>750</v>
      </c>
      <c r="F4" s="33">
        <v>999999999</v>
      </c>
      <c r="G4" s="29" t="s">
        <v>92</v>
      </c>
      <c r="H4" s="30" t="s">
        <v>537</v>
      </c>
      <c r="I4" s="29" t="s">
        <v>474</v>
      </c>
      <c r="J4" s="28" t="s">
        <v>185</v>
      </c>
    </row>
    <row r="5" spans="1:10 16354:16354">
      <c r="A5" s="59" t="s">
        <v>50</v>
      </c>
      <c r="B5" s="59" t="s">
        <v>660</v>
      </c>
      <c r="C5" s="59" t="s">
        <v>656</v>
      </c>
      <c r="D5" s="59" t="s">
        <v>184</v>
      </c>
      <c r="E5" s="33">
        <v>150</v>
      </c>
      <c r="F5" s="33">
        <v>999999999</v>
      </c>
      <c r="G5" s="29" t="s">
        <v>92</v>
      </c>
      <c r="H5" s="30" t="s">
        <v>661</v>
      </c>
      <c r="I5" s="29" t="s">
        <v>657</v>
      </c>
      <c r="J5" s="28" t="s">
        <v>185</v>
      </c>
    </row>
    <row r="6" spans="1:10 16354:16354">
      <c r="A6" s="59" t="s">
        <v>45</v>
      </c>
      <c r="B6" s="59" t="s">
        <v>806</v>
      </c>
      <c r="C6" s="59" t="s">
        <v>811</v>
      </c>
      <c r="D6" s="59" t="s">
        <v>181</v>
      </c>
      <c r="E6" s="33">
        <v>2</v>
      </c>
      <c r="F6" s="33">
        <v>999999</v>
      </c>
      <c r="G6" s="30" t="s">
        <v>83</v>
      </c>
      <c r="H6" s="30" t="s">
        <v>807</v>
      </c>
      <c r="I6" s="29" t="s">
        <v>837</v>
      </c>
      <c r="J6" s="28" t="s">
        <v>182</v>
      </c>
    </row>
    <row r="7" spans="1:10 16354:16354">
      <c r="A7" s="59" t="s">
        <v>45</v>
      </c>
      <c r="B7" s="59" t="s">
        <v>806</v>
      </c>
      <c r="C7" s="59" t="s">
        <v>812</v>
      </c>
      <c r="D7" s="59" t="s">
        <v>181</v>
      </c>
      <c r="E7" s="33">
        <v>2.44</v>
      </c>
      <c r="F7" s="33">
        <v>999999</v>
      </c>
      <c r="G7" s="30" t="s">
        <v>83</v>
      </c>
      <c r="H7" s="30" t="s">
        <v>807</v>
      </c>
      <c r="I7" s="29" t="s">
        <v>838</v>
      </c>
      <c r="J7" s="28" t="s">
        <v>182</v>
      </c>
    </row>
    <row r="8" spans="1:10 16354:16354">
      <c r="A8" s="59" t="s">
        <v>44</v>
      </c>
      <c r="B8" s="59" t="s">
        <v>396</v>
      </c>
      <c r="C8" s="59" t="s">
        <v>473</v>
      </c>
      <c r="D8" s="59" t="s">
        <v>188</v>
      </c>
      <c r="E8" s="33">
        <v>3.33</v>
      </c>
      <c r="F8" s="33">
        <v>999999</v>
      </c>
      <c r="G8" s="29" t="s">
        <v>81</v>
      </c>
      <c r="H8" s="30" t="s">
        <v>397</v>
      </c>
      <c r="I8" s="29" t="s">
        <v>474</v>
      </c>
      <c r="J8" s="28" t="s">
        <v>189</v>
      </c>
    </row>
    <row r="9" spans="1:10 16354:16354">
      <c r="A9" s="59" t="s">
        <v>76</v>
      </c>
      <c r="B9" s="59" t="s">
        <v>332</v>
      </c>
      <c r="C9" s="59" t="s">
        <v>550</v>
      </c>
      <c r="D9" s="59" t="s">
        <v>181</v>
      </c>
      <c r="E9" s="33">
        <v>0.27</v>
      </c>
      <c r="F9" s="33">
        <v>999999999</v>
      </c>
      <c r="G9" s="30" t="s">
        <v>77</v>
      </c>
      <c r="H9" s="30" t="s">
        <v>333</v>
      </c>
      <c r="I9" s="29" t="s">
        <v>551</v>
      </c>
      <c r="J9" s="28" t="s">
        <v>182</v>
      </c>
    </row>
    <row r="10" spans="1:10 16354:16354">
      <c r="A10" s="59" t="s">
        <v>88</v>
      </c>
      <c r="B10" s="59" t="s">
        <v>390</v>
      </c>
      <c r="C10" s="59" t="s">
        <v>575</v>
      </c>
      <c r="D10" s="59" t="s">
        <v>181</v>
      </c>
      <c r="E10" s="33">
        <v>0.34</v>
      </c>
      <c r="F10" s="33">
        <v>500</v>
      </c>
      <c r="G10" s="29" t="s">
        <v>89</v>
      </c>
      <c r="H10" s="30" t="s">
        <v>391</v>
      </c>
      <c r="I10" s="29" t="s">
        <v>576</v>
      </c>
      <c r="J10" s="28" t="s">
        <v>182</v>
      </c>
    </row>
    <row r="11" spans="1:10 16354:16354">
      <c r="A11" s="59" t="s">
        <v>88</v>
      </c>
      <c r="B11" s="59" t="s">
        <v>390</v>
      </c>
      <c r="C11" s="59" t="s">
        <v>575</v>
      </c>
      <c r="D11" s="59" t="s">
        <v>181</v>
      </c>
      <c r="E11" s="33">
        <v>0.33</v>
      </c>
      <c r="F11" s="33">
        <v>1000</v>
      </c>
      <c r="G11" s="29" t="s">
        <v>89</v>
      </c>
      <c r="H11" s="30" t="s">
        <v>391</v>
      </c>
      <c r="I11" s="29" t="s">
        <v>576</v>
      </c>
      <c r="J11" s="28" t="s">
        <v>182</v>
      </c>
    </row>
    <row r="12" spans="1:10 16354:16354">
      <c r="A12" s="59" t="s">
        <v>88</v>
      </c>
      <c r="B12" s="59" t="s">
        <v>390</v>
      </c>
      <c r="C12" s="59" t="s">
        <v>575</v>
      </c>
      <c r="D12" s="59" t="s">
        <v>181</v>
      </c>
      <c r="E12" s="33">
        <v>0.3</v>
      </c>
      <c r="F12" s="33">
        <v>2000</v>
      </c>
      <c r="G12" s="29" t="s">
        <v>89</v>
      </c>
      <c r="H12" s="30" t="s">
        <v>391</v>
      </c>
      <c r="I12" s="29" t="s">
        <v>576</v>
      </c>
      <c r="J12" s="28" t="s">
        <v>182</v>
      </c>
    </row>
    <row r="13" spans="1:10 16354:16354">
      <c r="A13" s="59" t="s">
        <v>88</v>
      </c>
      <c r="B13" s="59" t="s">
        <v>390</v>
      </c>
      <c r="C13" s="59" t="s">
        <v>575</v>
      </c>
      <c r="D13" s="59" t="s">
        <v>181</v>
      </c>
      <c r="E13" s="33">
        <v>0.27</v>
      </c>
      <c r="F13" s="33">
        <v>5000</v>
      </c>
      <c r="G13" s="29" t="s">
        <v>89</v>
      </c>
      <c r="H13" s="30" t="s">
        <v>391</v>
      </c>
      <c r="I13" s="29" t="s">
        <v>576</v>
      </c>
      <c r="J13" s="28" t="s">
        <v>182</v>
      </c>
    </row>
    <row r="14" spans="1:10 16354:16354">
      <c r="A14" s="59" t="s">
        <v>88</v>
      </c>
      <c r="B14" s="59" t="s">
        <v>390</v>
      </c>
      <c r="C14" s="59" t="s">
        <v>575</v>
      </c>
      <c r="D14" s="59" t="s">
        <v>181</v>
      </c>
      <c r="E14" s="33">
        <v>0.25</v>
      </c>
      <c r="F14" s="33">
        <v>20000</v>
      </c>
      <c r="G14" s="29" t="s">
        <v>89</v>
      </c>
      <c r="H14" s="30" t="s">
        <v>391</v>
      </c>
      <c r="I14" s="29" t="s">
        <v>576</v>
      </c>
      <c r="J14" s="28" t="s">
        <v>182</v>
      </c>
    </row>
    <row r="15" spans="1:10 16354:16354">
      <c r="A15" s="59" t="s">
        <v>88</v>
      </c>
      <c r="B15" s="59" t="s">
        <v>390</v>
      </c>
      <c r="C15" s="59" t="s">
        <v>575</v>
      </c>
      <c r="D15" s="59" t="s">
        <v>181</v>
      </c>
      <c r="E15" s="33">
        <v>0.23</v>
      </c>
      <c r="F15" s="33">
        <v>50000</v>
      </c>
      <c r="G15" s="29" t="s">
        <v>89</v>
      </c>
      <c r="H15" s="30" t="s">
        <v>391</v>
      </c>
      <c r="I15" s="29" t="s">
        <v>576</v>
      </c>
      <c r="J15" s="28" t="s">
        <v>182</v>
      </c>
    </row>
    <row r="16" spans="1:10 16354:16354">
      <c r="A16" s="59" t="s">
        <v>88</v>
      </c>
      <c r="B16" s="59" t="s">
        <v>390</v>
      </c>
      <c r="C16" s="59" t="s">
        <v>575</v>
      </c>
      <c r="D16" s="59" t="s">
        <v>181</v>
      </c>
      <c r="E16" s="33">
        <v>0.23</v>
      </c>
      <c r="F16" s="33">
        <v>999999</v>
      </c>
      <c r="G16" s="29" t="s">
        <v>89</v>
      </c>
      <c r="H16" s="30" t="s">
        <v>391</v>
      </c>
      <c r="I16" s="29" t="s">
        <v>576</v>
      </c>
      <c r="J16" s="28" t="s">
        <v>182</v>
      </c>
    </row>
    <row r="17" spans="1:10">
      <c r="A17" s="59" t="s">
        <v>88</v>
      </c>
      <c r="B17" s="59" t="s">
        <v>390</v>
      </c>
      <c r="C17" s="59" t="s">
        <v>577</v>
      </c>
      <c r="D17" s="59" t="s">
        <v>181</v>
      </c>
      <c r="E17" s="33">
        <v>0.42</v>
      </c>
      <c r="F17" s="33">
        <v>500</v>
      </c>
      <c r="G17" s="29" t="s">
        <v>89</v>
      </c>
      <c r="H17" s="30" t="s">
        <v>391</v>
      </c>
      <c r="I17" s="29" t="s">
        <v>578</v>
      </c>
      <c r="J17" s="28" t="s">
        <v>182</v>
      </c>
    </row>
    <row r="18" spans="1:10">
      <c r="A18" s="59" t="s">
        <v>88</v>
      </c>
      <c r="B18" s="59" t="s">
        <v>390</v>
      </c>
      <c r="C18" s="59" t="s">
        <v>577</v>
      </c>
      <c r="D18" s="59" t="s">
        <v>181</v>
      </c>
      <c r="E18" s="33">
        <v>0.41</v>
      </c>
      <c r="F18" s="33">
        <v>1000</v>
      </c>
      <c r="G18" s="29" t="s">
        <v>89</v>
      </c>
      <c r="H18" s="30" t="s">
        <v>391</v>
      </c>
      <c r="I18" s="29" t="s">
        <v>578</v>
      </c>
      <c r="J18" s="28" t="s">
        <v>182</v>
      </c>
    </row>
    <row r="19" spans="1:10">
      <c r="A19" s="59" t="s">
        <v>88</v>
      </c>
      <c r="B19" s="59" t="s">
        <v>390</v>
      </c>
      <c r="C19" s="59" t="s">
        <v>577</v>
      </c>
      <c r="D19" s="59" t="s">
        <v>181</v>
      </c>
      <c r="E19" s="33">
        <v>0.34</v>
      </c>
      <c r="F19" s="33">
        <v>2000</v>
      </c>
      <c r="G19" s="29" t="s">
        <v>89</v>
      </c>
      <c r="H19" s="30" t="s">
        <v>391</v>
      </c>
      <c r="I19" s="29" t="s">
        <v>578</v>
      </c>
      <c r="J19" s="28" t="s">
        <v>182</v>
      </c>
    </row>
    <row r="20" spans="1:10">
      <c r="A20" s="59" t="s">
        <v>88</v>
      </c>
      <c r="B20" s="59" t="s">
        <v>390</v>
      </c>
      <c r="C20" s="59" t="s">
        <v>577</v>
      </c>
      <c r="D20" s="59" t="s">
        <v>181</v>
      </c>
      <c r="E20" s="33">
        <v>0.34</v>
      </c>
      <c r="F20" s="33">
        <v>5000</v>
      </c>
      <c r="G20" s="29" t="s">
        <v>89</v>
      </c>
      <c r="H20" s="30" t="s">
        <v>391</v>
      </c>
      <c r="I20" s="29" t="s">
        <v>578</v>
      </c>
      <c r="J20" s="28" t="s">
        <v>182</v>
      </c>
    </row>
    <row r="21" spans="1:10">
      <c r="A21" s="59" t="s">
        <v>88</v>
      </c>
      <c r="B21" s="59" t="s">
        <v>390</v>
      </c>
      <c r="C21" s="59" t="s">
        <v>577</v>
      </c>
      <c r="D21" s="59" t="s">
        <v>181</v>
      </c>
      <c r="E21" s="33">
        <v>0.28000000000000003</v>
      </c>
      <c r="F21" s="33">
        <v>20000</v>
      </c>
      <c r="G21" s="29" t="s">
        <v>89</v>
      </c>
      <c r="H21" s="30" t="s">
        <v>391</v>
      </c>
      <c r="I21" s="29" t="s">
        <v>578</v>
      </c>
      <c r="J21" s="28" t="s">
        <v>182</v>
      </c>
    </row>
    <row r="22" spans="1:10">
      <c r="A22" s="59" t="s">
        <v>88</v>
      </c>
      <c r="B22" s="59" t="s">
        <v>390</v>
      </c>
      <c r="C22" s="59" t="s">
        <v>577</v>
      </c>
      <c r="D22" s="59" t="s">
        <v>181</v>
      </c>
      <c r="E22" s="33">
        <v>0.26</v>
      </c>
      <c r="F22" s="33">
        <v>50000</v>
      </c>
      <c r="G22" s="29" t="s">
        <v>89</v>
      </c>
      <c r="H22" s="30" t="s">
        <v>391</v>
      </c>
      <c r="I22" s="29" t="s">
        <v>578</v>
      </c>
      <c r="J22" s="28" t="s">
        <v>182</v>
      </c>
    </row>
    <row r="23" spans="1:10">
      <c r="A23" s="59" t="s">
        <v>88</v>
      </c>
      <c r="B23" s="59" t="s">
        <v>390</v>
      </c>
      <c r="C23" s="59" t="s">
        <v>577</v>
      </c>
      <c r="D23" s="59" t="s">
        <v>181</v>
      </c>
      <c r="E23" s="33">
        <v>0.25</v>
      </c>
      <c r="F23" s="33">
        <v>999999</v>
      </c>
      <c r="G23" s="29" t="s">
        <v>89</v>
      </c>
      <c r="H23" s="30" t="s">
        <v>391</v>
      </c>
      <c r="I23" s="29" t="s">
        <v>578</v>
      </c>
      <c r="J23" s="28" t="s">
        <v>182</v>
      </c>
    </row>
    <row r="24" spans="1:10">
      <c r="A24" s="59" t="s">
        <v>88</v>
      </c>
      <c r="B24" s="59" t="s">
        <v>390</v>
      </c>
      <c r="C24" s="59" t="s">
        <v>579</v>
      </c>
      <c r="D24" s="59" t="s">
        <v>181</v>
      </c>
      <c r="E24" s="33">
        <v>0.49</v>
      </c>
      <c r="F24" s="33">
        <v>500</v>
      </c>
      <c r="G24" s="29" t="s">
        <v>89</v>
      </c>
      <c r="H24" s="30" t="s">
        <v>391</v>
      </c>
      <c r="I24" s="29" t="s">
        <v>580</v>
      </c>
      <c r="J24" s="28" t="s">
        <v>182</v>
      </c>
    </row>
    <row r="25" spans="1:10">
      <c r="A25" s="59" t="s">
        <v>88</v>
      </c>
      <c r="B25" s="59" t="s">
        <v>390</v>
      </c>
      <c r="C25" s="59" t="s">
        <v>579</v>
      </c>
      <c r="D25" s="59" t="s">
        <v>181</v>
      </c>
      <c r="E25" s="33">
        <v>0.48</v>
      </c>
      <c r="F25" s="33">
        <v>1000</v>
      </c>
      <c r="G25" s="29" t="s">
        <v>89</v>
      </c>
      <c r="H25" s="30" t="s">
        <v>391</v>
      </c>
      <c r="I25" s="29" t="s">
        <v>580</v>
      </c>
      <c r="J25" s="28" t="s">
        <v>182</v>
      </c>
    </row>
    <row r="26" spans="1:10">
      <c r="A26" s="59" t="s">
        <v>88</v>
      </c>
      <c r="B26" s="59" t="s">
        <v>390</v>
      </c>
      <c r="C26" s="59" t="s">
        <v>579</v>
      </c>
      <c r="D26" s="59" t="s">
        <v>181</v>
      </c>
      <c r="E26" s="33">
        <v>0.39</v>
      </c>
      <c r="F26" s="33">
        <v>2000</v>
      </c>
      <c r="G26" s="29" t="s">
        <v>89</v>
      </c>
      <c r="H26" s="30" t="s">
        <v>391</v>
      </c>
      <c r="I26" s="29" t="s">
        <v>580</v>
      </c>
      <c r="J26" s="28" t="s">
        <v>182</v>
      </c>
    </row>
    <row r="27" spans="1:10">
      <c r="A27" s="59" t="s">
        <v>88</v>
      </c>
      <c r="B27" s="59" t="s">
        <v>390</v>
      </c>
      <c r="C27" s="59" t="s">
        <v>579</v>
      </c>
      <c r="D27" s="59" t="s">
        <v>181</v>
      </c>
      <c r="E27" s="33">
        <v>0.37</v>
      </c>
      <c r="F27" s="33">
        <v>5000</v>
      </c>
      <c r="G27" s="29" t="s">
        <v>89</v>
      </c>
      <c r="H27" s="30" t="s">
        <v>391</v>
      </c>
      <c r="I27" s="29" t="s">
        <v>580</v>
      </c>
      <c r="J27" s="28" t="s">
        <v>182</v>
      </c>
    </row>
    <row r="28" spans="1:10">
      <c r="A28" s="59" t="s">
        <v>88</v>
      </c>
      <c r="B28" s="59" t="s">
        <v>390</v>
      </c>
      <c r="C28" s="59" t="s">
        <v>579</v>
      </c>
      <c r="D28" s="59" t="s">
        <v>181</v>
      </c>
      <c r="E28" s="33">
        <v>0.31</v>
      </c>
      <c r="F28" s="33">
        <v>20000</v>
      </c>
      <c r="G28" s="29" t="s">
        <v>89</v>
      </c>
      <c r="H28" s="30" t="s">
        <v>391</v>
      </c>
      <c r="I28" s="29" t="s">
        <v>580</v>
      </c>
      <c r="J28" s="28" t="s">
        <v>182</v>
      </c>
    </row>
    <row r="29" spans="1:10">
      <c r="A29" s="59" t="s">
        <v>88</v>
      </c>
      <c r="B29" s="59" t="s">
        <v>390</v>
      </c>
      <c r="C29" s="59" t="s">
        <v>579</v>
      </c>
      <c r="D29" s="59" t="s">
        <v>181</v>
      </c>
      <c r="E29" s="33">
        <v>0.28000000000000003</v>
      </c>
      <c r="F29" s="33">
        <v>50000</v>
      </c>
      <c r="G29" s="29" t="s">
        <v>89</v>
      </c>
      <c r="H29" s="30" t="s">
        <v>391</v>
      </c>
      <c r="I29" s="29" t="s">
        <v>580</v>
      </c>
      <c r="J29" s="28" t="s">
        <v>182</v>
      </c>
    </row>
    <row r="30" spans="1:10">
      <c r="A30" s="59" t="s">
        <v>88</v>
      </c>
      <c r="B30" s="59" t="s">
        <v>390</v>
      </c>
      <c r="C30" s="59" t="s">
        <v>579</v>
      </c>
      <c r="D30" s="59" t="s">
        <v>181</v>
      </c>
      <c r="E30" s="33">
        <v>0.27</v>
      </c>
      <c r="F30" s="33">
        <v>999999</v>
      </c>
      <c r="G30" s="29" t="s">
        <v>89</v>
      </c>
      <c r="H30" s="30" t="s">
        <v>391</v>
      </c>
      <c r="I30" s="29" t="s">
        <v>580</v>
      </c>
      <c r="J30" s="28" t="s">
        <v>182</v>
      </c>
    </row>
    <row r="31" spans="1:10">
      <c r="A31" s="59" t="s">
        <v>88</v>
      </c>
      <c r="B31" s="59" t="s">
        <v>390</v>
      </c>
      <c r="C31" s="59" t="s">
        <v>581</v>
      </c>
      <c r="D31" s="59" t="s">
        <v>181</v>
      </c>
      <c r="E31" s="33">
        <v>0.56999999999999995</v>
      </c>
      <c r="F31" s="33">
        <v>500</v>
      </c>
      <c r="G31" s="29" t="s">
        <v>89</v>
      </c>
      <c r="H31" s="30" t="s">
        <v>391</v>
      </c>
      <c r="I31" s="29" t="s">
        <v>582</v>
      </c>
      <c r="J31" s="28" t="s">
        <v>182</v>
      </c>
    </row>
    <row r="32" spans="1:10">
      <c r="A32" s="59" t="s">
        <v>88</v>
      </c>
      <c r="B32" s="59" t="s">
        <v>390</v>
      </c>
      <c r="C32" s="59" t="s">
        <v>581</v>
      </c>
      <c r="D32" s="59" t="s">
        <v>181</v>
      </c>
      <c r="E32" s="33">
        <v>0.56000000000000005</v>
      </c>
      <c r="F32" s="33">
        <v>1000</v>
      </c>
      <c r="G32" s="29" t="s">
        <v>89</v>
      </c>
      <c r="H32" s="30" t="s">
        <v>391</v>
      </c>
      <c r="I32" s="29" t="s">
        <v>582</v>
      </c>
      <c r="J32" s="28" t="s">
        <v>182</v>
      </c>
    </row>
    <row r="33" spans="1:10">
      <c r="A33" s="59" t="s">
        <v>88</v>
      </c>
      <c r="B33" s="59" t="s">
        <v>390</v>
      </c>
      <c r="C33" s="59" t="s">
        <v>581</v>
      </c>
      <c r="D33" s="59" t="s">
        <v>181</v>
      </c>
      <c r="E33" s="33">
        <v>0.44</v>
      </c>
      <c r="F33" s="33">
        <v>2000</v>
      </c>
      <c r="G33" s="29" t="s">
        <v>89</v>
      </c>
      <c r="H33" s="30" t="s">
        <v>391</v>
      </c>
      <c r="I33" s="29" t="s">
        <v>582</v>
      </c>
      <c r="J33" s="28" t="s">
        <v>182</v>
      </c>
    </row>
    <row r="34" spans="1:10">
      <c r="A34" s="59" t="s">
        <v>88</v>
      </c>
      <c r="B34" s="59" t="s">
        <v>390</v>
      </c>
      <c r="C34" s="59" t="s">
        <v>581</v>
      </c>
      <c r="D34" s="59" t="s">
        <v>181</v>
      </c>
      <c r="E34" s="33">
        <v>0.37</v>
      </c>
      <c r="F34" s="33">
        <v>5000</v>
      </c>
      <c r="G34" s="29" t="s">
        <v>89</v>
      </c>
      <c r="H34" s="30" t="s">
        <v>391</v>
      </c>
      <c r="I34" s="29" t="s">
        <v>582</v>
      </c>
      <c r="J34" s="28" t="s">
        <v>182</v>
      </c>
    </row>
    <row r="35" spans="1:10">
      <c r="A35" s="59" t="s">
        <v>88</v>
      </c>
      <c r="B35" s="59" t="s">
        <v>390</v>
      </c>
      <c r="C35" s="59" t="s">
        <v>581</v>
      </c>
      <c r="D35" s="59" t="s">
        <v>181</v>
      </c>
      <c r="E35" s="33">
        <v>0.34</v>
      </c>
      <c r="F35" s="33">
        <v>20000</v>
      </c>
      <c r="G35" s="29" t="s">
        <v>89</v>
      </c>
      <c r="H35" s="30" t="s">
        <v>391</v>
      </c>
      <c r="I35" s="29" t="s">
        <v>582</v>
      </c>
      <c r="J35" s="28" t="s">
        <v>182</v>
      </c>
    </row>
    <row r="36" spans="1:10">
      <c r="A36" s="59" t="s">
        <v>88</v>
      </c>
      <c r="B36" s="59" t="s">
        <v>390</v>
      </c>
      <c r="C36" s="59" t="s">
        <v>581</v>
      </c>
      <c r="D36" s="59" t="s">
        <v>181</v>
      </c>
      <c r="E36" s="33">
        <v>0.3</v>
      </c>
      <c r="F36" s="33">
        <v>50000</v>
      </c>
      <c r="G36" s="29" t="s">
        <v>89</v>
      </c>
      <c r="H36" s="30" t="s">
        <v>391</v>
      </c>
      <c r="I36" s="29" t="s">
        <v>582</v>
      </c>
      <c r="J36" s="28" t="s">
        <v>182</v>
      </c>
    </row>
    <row r="37" spans="1:10">
      <c r="A37" s="59" t="s">
        <v>88</v>
      </c>
      <c r="B37" s="59" t="s">
        <v>390</v>
      </c>
      <c r="C37" s="59" t="s">
        <v>581</v>
      </c>
      <c r="D37" s="59" t="s">
        <v>181</v>
      </c>
      <c r="E37" s="33">
        <v>0.28999999999999998</v>
      </c>
      <c r="F37" s="33">
        <v>999999</v>
      </c>
      <c r="G37" s="29" t="s">
        <v>89</v>
      </c>
      <c r="H37" s="30" t="s">
        <v>391</v>
      </c>
      <c r="I37" s="29" t="s">
        <v>582</v>
      </c>
      <c r="J37" s="28" t="s">
        <v>182</v>
      </c>
    </row>
    <row r="38" spans="1:10">
      <c r="A38" s="59" t="s">
        <v>88</v>
      </c>
      <c r="B38" s="59" t="s">
        <v>390</v>
      </c>
      <c r="C38" s="59" t="s">
        <v>583</v>
      </c>
      <c r="D38" s="59" t="s">
        <v>181</v>
      </c>
      <c r="E38" s="33">
        <v>0.36</v>
      </c>
      <c r="F38" s="33">
        <v>500</v>
      </c>
      <c r="G38" s="29" t="s">
        <v>89</v>
      </c>
      <c r="H38" s="30" t="s">
        <v>391</v>
      </c>
      <c r="I38" s="29" t="s">
        <v>584</v>
      </c>
      <c r="J38" s="28" t="s">
        <v>182</v>
      </c>
    </row>
    <row r="39" spans="1:10">
      <c r="A39" s="59" t="s">
        <v>88</v>
      </c>
      <c r="B39" s="59" t="s">
        <v>390</v>
      </c>
      <c r="C39" s="59" t="s">
        <v>583</v>
      </c>
      <c r="D39" s="59" t="s">
        <v>181</v>
      </c>
      <c r="E39" s="33">
        <v>0.31</v>
      </c>
      <c r="F39" s="33">
        <v>1000</v>
      </c>
      <c r="G39" s="29" t="s">
        <v>89</v>
      </c>
      <c r="H39" s="30" t="s">
        <v>391</v>
      </c>
      <c r="I39" s="29" t="s">
        <v>584</v>
      </c>
      <c r="J39" s="28" t="s">
        <v>182</v>
      </c>
    </row>
    <row r="40" spans="1:10">
      <c r="A40" s="59" t="s">
        <v>88</v>
      </c>
      <c r="B40" s="59" t="s">
        <v>390</v>
      </c>
      <c r="C40" s="59" t="s">
        <v>583</v>
      </c>
      <c r="D40" s="59" t="s">
        <v>181</v>
      </c>
      <c r="E40" s="33">
        <v>0.28000000000000003</v>
      </c>
      <c r="F40" s="33">
        <v>2000</v>
      </c>
      <c r="G40" s="29" t="s">
        <v>89</v>
      </c>
      <c r="H40" s="30" t="s">
        <v>391</v>
      </c>
      <c r="I40" s="29" t="s">
        <v>584</v>
      </c>
      <c r="J40" s="28" t="s">
        <v>182</v>
      </c>
    </row>
    <row r="41" spans="1:10">
      <c r="A41" s="59" t="s">
        <v>88</v>
      </c>
      <c r="B41" s="59" t="s">
        <v>390</v>
      </c>
      <c r="C41" s="59" t="s">
        <v>583</v>
      </c>
      <c r="D41" s="59" t="s">
        <v>181</v>
      </c>
      <c r="E41" s="33">
        <v>0.27</v>
      </c>
      <c r="F41" s="33">
        <v>5000</v>
      </c>
      <c r="G41" s="29" t="s">
        <v>89</v>
      </c>
      <c r="H41" s="30" t="s">
        <v>391</v>
      </c>
      <c r="I41" s="29" t="s">
        <v>584</v>
      </c>
      <c r="J41" s="28" t="s">
        <v>182</v>
      </c>
    </row>
    <row r="42" spans="1:10">
      <c r="A42" s="59" t="s">
        <v>88</v>
      </c>
      <c r="B42" s="59" t="s">
        <v>390</v>
      </c>
      <c r="C42" s="59" t="s">
        <v>583</v>
      </c>
      <c r="D42" s="59" t="s">
        <v>181</v>
      </c>
      <c r="E42" s="33">
        <v>0.24</v>
      </c>
      <c r="F42" s="33">
        <v>20000</v>
      </c>
      <c r="G42" s="29" t="s">
        <v>89</v>
      </c>
      <c r="H42" s="30" t="s">
        <v>391</v>
      </c>
      <c r="I42" s="29" t="s">
        <v>584</v>
      </c>
      <c r="J42" s="28" t="s">
        <v>182</v>
      </c>
    </row>
    <row r="43" spans="1:10">
      <c r="A43" s="59" t="s">
        <v>88</v>
      </c>
      <c r="B43" s="59" t="s">
        <v>390</v>
      </c>
      <c r="C43" s="59" t="s">
        <v>583</v>
      </c>
      <c r="D43" s="59" t="s">
        <v>181</v>
      </c>
      <c r="E43" s="33">
        <v>0.22</v>
      </c>
      <c r="F43" s="33">
        <v>50000</v>
      </c>
      <c r="G43" s="29" t="s">
        <v>89</v>
      </c>
      <c r="H43" s="30" t="s">
        <v>391</v>
      </c>
      <c r="I43" s="29" t="s">
        <v>584</v>
      </c>
      <c r="J43" s="28" t="s">
        <v>182</v>
      </c>
    </row>
    <row r="44" spans="1:10">
      <c r="A44" s="59" t="s">
        <v>88</v>
      </c>
      <c r="B44" s="59" t="s">
        <v>390</v>
      </c>
      <c r="C44" s="59" t="s">
        <v>583</v>
      </c>
      <c r="D44" s="59" t="s">
        <v>181</v>
      </c>
      <c r="E44" s="33">
        <v>0.22</v>
      </c>
      <c r="F44" s="33">
        <v>999999</v>
      </c>
      <c r="G44" s="29" t="s">
        <v>89</v>
      </c>
      <c r="H44" s="30" t="s">
        <v>391</v>
      </c>
      <c r="I44" s="29" t="s">
        <v>584</v>
      </c>
      <c r="J44" s="28" t="s">
        <v>182</v>
      </c>
    </row>
    <row r="45" spans="1:10">
      <c r="A45" s="59" t="s">
        <v>88</v>
      </c>
      <c r="B45" s="59" t="s">
        <v>390</v>
      </c>
      <c r="C45" s="59" t="s">
        <v>585</v>
      </c>
      <c r="D45" s="59" t="s">
        <v>181</v>
      </c>
      <c r="E45" s="33">
        <v>0.43</v>
      </c>
      <c r="F45" s="33">
        <v>500</v>
      </c>
      <c r="G45" s="29" t="s">
        <v>89</v>
      </c>
      <c r="H45" s="30" t="s">
        <v>391</v>
      </c>
      <c r="I45" s="29" t="s">
        <v>586</v>
      </c>
      <c r="J45" s="28" t="s">
        <v>182</v>
      </c>
    </row>
    <row r="46" spans="1:10">
      <c r="A46" s="59" t="s">
        <v>88</v>
      </c>
      <c r="B46" s="59" t="s">
        <v>390</v>
      </c>
      <c r="C46" s="59" t="s">
        <v>585</v>
      </c>
      <c r="D46" s="59" t="s">
        <v>181</v>
      </c>
      <c r="E46" s="33">
        <v>0.36</v>
      </c>
      <c r="F46" s="33">
        <v>1000</v>
      </c>
      <c r="G46" s="29" t="s">
        <v>89</v>
      </c>
      <c r="H46" s="30" t="s">
        <v>391</v>
      </c>
      <c r="I46" s="29" t="s">
        <v>586</v>
      </c>
      <c r="J46" s="28" t="s">
        <v>182</v>
      </c>
    </row>
    <row r="47" spans="1:10">
      <c r="A47" s="59" t="s">
        <v>88</v>
      </c>
      <c r="B47" s="59" t="s">
        <v>390</v>
      </c>
      <c r="C47" s="59" t="s">
        <v>585</v>
      </c>
      <c r="D47" s="59" t="s">
        <v>181</v>
      </c>
      <c r="E47" s="33">
        <v>0.32</v>
      </c>
      <c r="F47" s="33">
        <v>2000</v>
      </c>
      <c r="G47" s="29" t="s">
        <v>89</v>
      </c>
      <c r="H47" s="30" t="s">
        <v>391</v>
      </c>
      <c r="I47" s="29" t="s">
        <v>586</v>
      </c>
      <c r="J47" s="28" t="s">
        <v>182</v>
      </c>
    </row>
    <row r="48" spans="1:10">
      <c r="A48" s="59" t="s">
        <v>88</v>
      </c>
      <c r="B48" s="59" t="s">
        <v>390</v>
      </c>
      <c r="C48" s="59" t="s">
        <v>585</v>
      </c>
      <c r="D48" s="59" t="s">
        <v>181</v>
      </c>
      <c r="E48" s="33">
        <v>0.31</v>
      </c>
      <c r="F48" s="33">
        <v>5000</v>
      </c>
      <c r="G48" s="29" t="s">
        <v>89</v>
      </c>
      <c r="H48" s="30" t="s">
        <v>391</v>
      </c>
      <c r="I48" s="29" t="s">
        <v>586</v>
      </c>
      <c r="J48" s="28" t="s">
        <v>182</v>
      </c>
    </row>
    <row r="49" spans="1:10">
      <c r="A49" s="59" t="s">
        <v>88</v>
      </c>
      <c r="B49" s="59" t="s">
        <v>390</v>
      </c>
      <c r="C49" s="59" t="s">
        <v>585</v>
      </c>
      <c r="D49" s="59" t="s">
        <v>181</v>
      </c>
      <c r="E49" s="33">
        <v>0.26</v>
      </c>
      <c r="F49" s="33">
        <v>20000</v>
      </c>
      <c r="G49" s="29" t="s">
        <v>89</v>
      </c>
      <c r="H49" s="30" t="s">
        <v>391</v>
      </c>
      <c r="I49" s="29" t="s">
        <v>586</v>
      </c>
      <c r="J49" s="28" t="s">
        <v>182</v>
      </c>
    </row>
    <row r="50" spans="1:10">
      <c r="A50" s="59" t="s">
        <v>88</v>
      </c>
      <c r="B50" s="59" t="s">
        <v>390</v>
      </c>
      <c r="C50" s="59" t="s">
        <v>585</v>
      </c>
      <c r="D50" s="59" t="s">
        <v>181</v>
      </c>
      <c r="E50" s="33">
        <v>0.23</v>
      </c>
      <c r="F50" s="33">
        <v>50000</v>
      </c>
      <c r="G50" s="29" t="s">
        <v>89</v>
      </c>
      <c r="H50" s="30" t="s">
        <v>391</v>
      </c>
      <c r="I50" s="29" t="s">
        <v>586</v>
      </c>
      <c r="J50" s="28" t="s">
        <v>182</v>
      </c>
    </row>
    <row r="51" spans="1:10">
      <c r="A51" s="59" t="s">
        <v>88</v>
      </c>
      <c r="B51" s="59" t="s">
        <v>390</v>
      </c>
      <c r="C51" s="59" t="s">
        <v>585</v>
      </c>
      <c r="D51" s="59" t="s">
        <v>181</v>
      </c>
      <c r="E51" s="33">
        <v>0.23</v>
      </c>
      <c r="F51" s="33">
        <v>999999</v>
      </c>
      <c r="G51" s="29" t="s">
        <v>89</v>
      </c>
      <c r="H51" s="30" t="s">
        <v>391</v>
      </c>
      <c r="I51" s="29" t="s">
        <v>586</v>
      </c>
      <c r="J51" s="28" t="s">
        <v>182</v>
      </c>
    </row>
    <row r="52" spans="1:10">
      <c r="A52" s="59" t="s">
        <v>88</v>
      </c>
      <c r="B52" s="59" t="s">
        <v>390</v>
      </c>
      <c r="C52" s="59" t="s">
        <v>587</v>
      </c>
      <c r="D52" s="59" t="s">
        <v>181</v>
      </c>
      <c r="E52" s="33">
        <v>0.51</v>
      </c>
      <c r="F52" s="33">
        <v>500</v>
      </c>
      <c r="G52" s="29" t="s">
        <v>89</v>
      </c>
      <c r="H52" s="30" t="s">
        <v>391</v>
      </c>
      <c r="I52" s="29" t="s">
        <v>588</v>
      </c>
      <c r="J52" s="28" t="s">
        <v>182</v>
      </c>
    </row>
    <row r="53" spans="1:10">
      <c r="A53" s="59" t="s">
        <v>88</v>
      </c>
      <c r="B53" s="59" t="s">
        <v>390</v>
      </c>
      <c r="C53" s="59" t="s">
        <v>587</v>
      </c>
      <c r="D53" s="59" t="s">
        <v>181</v>
      </c>
      <c r="E53" s="33">
        <v>0.4</v>
      </c>
      <c r="F53" s="33">
        <v>1000</v>
      </c>
      <c r="G53" s="29" t="s">
        <v>89</v>
      </c>
      <c r="H53" s="30" t="s">
        <v>391</v>
      </c>
      <c r="I53" s="29" t="s">
        <v>588</v>
      </c>
      <c r="J53" s="28" t="s">
        <v>182</v>
      </c>
    </row>
    <row r="54" spans="1:10">
      <c r="A54" s="59" t="s">
        <v>88</v>
      </c>
      <c r="B54" s="59" t="s">
        <v>390</v>
      </c>
      <c r="C54" s="59" t="s">
        <v>587</v>
      </c>
      <c r="D54" s="59" t="s">
        <v>181</v>
      </c>
      <c r="E54" s="33">
        <v>0.35</v>
      </c>
      <c r="F54" s="33">
        <v>2000</v>
      </c>
      <c r="G54" s="29" t="s">
        <v>89</v>
      </c>
      <c r="H54" s="30" t="s">
        <v>391</v>
      </c>
      <c r="I54" s="29" t="s">
        <v>588</v>
      </c>
      <c r="J54" s="28" t="s">
        <v>182</v>
      </c>
    </row>
    <row r="55" spans="1:10">
      <c r="A55" s="59" t="s">
        <v>88</v>
      </c>
      <c r="B55" s="59" t="s">
        <v>390</v>
      </c>
      <c r="C55" s="59" t="s">
        <v>587</v>
      </c>
      <c r="D55" s="59" t="s">
        <v>181</v>
      </c>
      <c r="E55" s="33">
        <v>0.35</v>
      </c>
      <c r="F55" s="33">
        <v>5000</v>
      </c>
      <c r="G55" s="29" t="s">
        <v>89</v>
      </c>
      <c r="H55" s="30" t="s">
        <v>391</v>
      </c>
      <c r="I55" s="29" t="s">
        <v>588</v>
      </c>
      <c r="J55" s="28" t="s">
        <v>182</v>
      </c>
    </row>
    <row r="56" spans="1:10">
      <c r="A56" s="59" t="s">
        <v>88</v>
      </c>
      <c r="B56" s="59" t="s">
        <v>390</v>
      </c>
      <c r="C56" s="59" t="s">
        <v>587</v>
      </c>
      <c r="D56" s="59" t="s">
        <v>181</v>
      </c>
      <c r="E56" s="33">
        <v>0.28000000000000003</v>
      </c>
      <c r="F56" s="33">
        <v>20000</v>
      </c>
      <c r="G56" s="29" t="s">
        <v>89</v>
      </c>
      <c r="H56" s="30" t="s">
        <v>391</v>
      </c>
      <c r="I56" s="29" t="s">
        <v>588</v>
      </c>
      <c r="J56" s="28" t="s">
        <v>182</v>
      </c>
    </row>
    <row r="57" spans="1:10">
      <c r="A57" s="59" t="s">
        <v>88</v>
      </c>
      <c r="B57" s="59" t="s">
        <v>390</v>
      </c>
      <c r="C57" s="59" t="s">
        <v>587</v>
      </c>
      <c r="D57" s="59" t="s">
        <v>181</v>
      </c>
      <c r="E57" s="33">
        <v>0.25</v>
      </c>
      <c r="F57" s="33">
        <v>50000</v>
      </c>
      <c r="G57" s="29" t="s">
        <v>89</v>
      </c>
      <c r="H57" s="30" t="s">
        <v>391</v>
      </c>
      <c r="I57" s="29" t="s">
        <v>588</v>
      </c>
      <c r="J57" s="28" t="s">
        <v>182</v>
      </c>
    </row>
    <row r="58" spans="1:10">
      <c r="A58" s="59" t="s">
        <v>88</v>
      </c>
      <c r="B58" s="59" t="s">
        <v>390</v>
      </c>
      <c r="C58" s="59" t="s">
        <v>587</v>
      </c>
      <c r="D58" s="59" t="s">
        <v>181</v>
      </c>
      <c r="E58" s="33">
        <v>0.25</v>
      </c>
      <c r="F58" s="33">
        <v>999999</v>
      </c>
      <c r="G58" s="29" t="s">
        <v>89</v>
      </c>
      <c r="H58" s="30" t="s">
        <v>391</v>
      </c>
      <c r="I58" s="29" t="s">
        <v>588</v>
      </c>
      <c r="J58" s="28" t="s">
        <v>182</v>
      </c>
    </row>
    <row r="59" spans="1:10">
      <c r="A59" s="59" t="s">
        <v>88</v>
      </c>
      <c r="B59" s="59" t="s">
        <v>390</v>
      </c>
      <c r="C59" s="59" t="s">
        <v>589</v>
      </c>
      <c r="D59" s="59" t="s">
        <v>181</v>
      </c>
      <c r="E59" s="33">
        <v>0.57999999999999996</v>
      </c>
      <c r="F59" s="33">
        <v>500</v>
      </c>
      <c r="G59" s="29" t="s">
        <v>89</v>
      </c>
      <c r="H59" s="30" t="s">
        <v>391</v>
      </c>
      <c r="I59" s="29" t="s">
        <v>590</v>
      </c>
      <c r="J59" s="28" t="s">
        <v>182</v>
      </c>
    </row>
    <row r="60" spans="1:10">
      <c r="A60" s="59" t="s">
        <v>88</v>
      </c>
      <c r="B60" s="59" t="s">
        <v>390</v>
      </c>
      <c r="C60" s="59" t="s">
        <v>589</v>
      </c>
      <c r="D60" s="59" t="s">
        <v>181</v>
      </c>
      <c r="E60" s="33">
        <v>0.45</v>
      </c>
      <c r="F60" s="33">
        <v>1000</v>
      </c>
      <c r="G60" s="29" t="s">
        <v>89</v>
      </c>
      <c r="H60" s="30" t="s">
        <v>391</v>
      </c>
      <c r="I60" s="29" t="s">
        <v>590</v>
      </c>
      <c r="J60" s="28" t="s">
        <v>182</v>
      </c>
    </row>
    <row r="61" spans="1:10">
      <c r="A61" s="59" t="s">
        <v>88</v>
      </c>
      <c r="B61" s="59" t="s">
        <v>390</v>
      </c>
      <c r="C61" s="59" t="s">
        <v>589</v>
      </c>
      <c r="D61" s="59" t="s">
        <v>181</v>
      </c>
      <c r="E61" s="33">
        <v>0.38</v>
      </c>
      <c r="F61" s="33">
        <v>2000</v>
      </c>
      <c r="G61" s="29" t="s">
        <v>89</v>
      </c>
      <c r="H61" s="30" t="s">
        <v>391</v>
      </c>
      <c r="I61" s="29" t="s">
        <v>590</v>
      </c>
      <c r="J61" s="28" t="s">
        <v>182</v>
      </c>
    </row>
    <row r="62" spans="1:10">
      <c r="A62" s="59" t="s">
        <v>88</v>
      </c>
      <c r="B62" s="59" t="s">
        <v>390</v>
      </c>
      <c r="C62" s="59" t="s">
        <v>589</v>
      </c>
      <c r="D62" s="59" t="s">
        <v>181</v>
      </c>
      <c r="E62" s="33">
        <v>0.37</v>
      </c>
      <c r="F62" s="33">
        <v>5000</v>
      </c>
      <c r="G62" s="29" t="s">
        <v>89</v>
      </c>
      <c r="H62" s="30" t="s">
        <v>391</v>
      </c>
      <c r="I62" s="29" t="s">
        <v>590</v>
      </c>
      <c r="J62" s="28" t="s">
        <v>182</v>
      </c>
    </row>
    <row r="63" spans="1:10">
      <c r="A63" s="59" t="s">
        <v>88</v>
      </c>
      <c r="B63" s="59" t="s">
        <v>390</v>
      </c>
      <c r="C63" s="59" t="s">
        <v>589</v>
      </c>
      <c r="D63" s="59" t="s">
        <v>181</v>
      </c>
      <c r="E63" s="33">
        <v>0.3</v>
      </c>
      <c r="F63" s="33">
        <v>20000</v>
      </c>
      <c r="G63" s="29" t="s">
        <v>89</v>
      </c>
      <c r="H63" s="30" t="s">
        <v>391</v>
      </c>
      <c r="I63" s="29" t="s">
        <v>590</v>
      </c>
      <c r="J63" s="28" t="s">
        <v>182</v>
      </c>
    </row>
    <row r="64" spans="1:10">
      <c r="A64" s="59" t="s">
        <v>88</v>
      </c>
      <c r="B64" s="59" t="s">
        <v>390</v>
      </c>
      <c r="C64" s="59" t="s">
        <v>589</v>
      </c>
      <c r="D64" s="59" t="s">
        <v>181</v>
      </c>
      <c r="E64" s="33">
        <v>0.27</v>
      </c>
      <c r="F64" s="33">
        <v>50000</v>
      </c>
      <c r="G64" s="29" t="s">
        <v>89</v>
      </c>
      <c r="H64" s="30" t="s">
        <v>391</v>
      </c>
      <c r="I64" s="29" t="s">
        <v>590</v>
      </c>
      <c r="J64" s="28" t="s">
        <v>182</v>
      </c>
    </row>
    <row r="65" spans="1:10">
      <c r="A65" s="59" t="s">
        <v>88</v>
      </c>
      <c r="B65" s="59" t="s">
        <v>390</v>
      </c>
      <c r="C65" s="59" t="s">
        <v>589</v>
      </c>
      <c r="D65" s="59" t="s">
        <v>181</v>
      </c>
      <c r="E65" s="33">
        <v>0.26</v>
      </c>
      <c r="F65" s="33">
        <v>999999</v>
      </c>
      <c r="G65" s="29" t="s">
        <v>89</v>
      </c>
      <c r="H65" s="30" t="s">
        <v>391</v>
      </c>
      <c r="I65" s="29" t="s">
        <v>590</v>
      </c>
      <c r="J65" s="28" t="s">
        <v>182</v>
      </c>
    </row>
    <row r="66" spans="1:10">
      <c r="A66" s="59" t="s">
        <v>88</v>
      </c>
      <c r="B66" s="59" t="s">
        <v>342</v>
      </c>
      <c r="C66" s="59" t="s">
        <v>591</v>
      </c>
      <c r="D66" s="59" t="s">
        <v>181</v>
      </c>
      <c r="E66" s="33">
        <v>0.19</v>
      </c>
      <c r="F66" s="33">
        <v>500</v>
      </c>
      <c r="G66" s="29" t="s">
        <v>89</v>
      </c>
      <c r="H66" s="30" t="s">
        <v>343</v>
      </c>
      <c r="I66" s="29" t="s">
        <v>592</v>
      </c>
      <c r="J66" s="28" t="s">
        <v>182</v>
      </c>
    </row>
    <row r="67" spans="1:10">
      <c r="A67" s="59" t="s">
        <v>88</v>
      </c>
      <c r="B67" s="59" t="s">
        <v>342</v>
      </c>
      <c r="C67" s="59" t="s">
        <v>591</v>
      </c>
      <c r="D67" s="59" t="s">
        <v>181</v>
      </c>
      <c r="E67" s="33">
        <v>0.16</v>
      </c>
      <c r="F67" s="33">
        <v>1000</v>
      </c>
      <c r="G67" s="29" t="s">
        <v>89</v>
      </c>
      <c r="H67" s="30" t="s">
        <v>343</v>
      </c>
      <c r="I67" s="29" t="s">
        <v>592</v>
      </c>
      <c r="J67" s="28" t="s">
        <v>182</v>
      </c>
    </row>
    <row r="68" spans="1:10">
      <c r="A68" s="59" t="s">
        <v>88</v>
      </c>
      <c r="B68" s="59" t="s">
        <v>342</v>
      </c>
      <c r="C68" s="59" t="s">
        <v>591</v>
      </c>
      <c r="D68" s="59" t="s">
        <v>181</v>
      </c>
      <c r="E68" s="33">
        <v>0.15</v>
      </c>
      <c r="F68" s="33">
        <v>2000</v>
      </c>
      <c r="G68" s="29" t="s">
        <v>89</v>
      </c>
      <c r="H68" s="30" t="s">
        <v>343</v>
      </c>
      <c r="I68" s="29" t="s">
        <v>592</v>
      </c>
      <c r="J68" s="28" t="s">
        <v>182</v>
      </c>
    </row>
    <row r="69" spans="1:10">
      <c r="A69" s="59" t="s">
        <v>88</v>
      </c>
      <c r="B69" s="59" t="s">
        <v>342</v>
      </c>
      <c r="C69" s="59" t="s">
        <v>591</v>
      </c>
      <c r="D69" s="59" t="s">
        <v>181</v>
      </c>
      <c r="E69" s="33">
        <v>0.14000000000000001</v>
      </c>
      <c r="F69" s="33">
        <v>5000</v>
      </c>
      <c r="G69" s="29" t="s">
        <v>89</v>
      </c>
      <c r="H69" s="30" t="s">
        <v>343</v>
      </c>
      <c r="I69" s="29" t="s">
        <v>592</v>
      </c>
      <c r="J69" s="28" t="s">
        <v>182</v>
      </c>
    </row>
    <row r="70" spans="1:10">
      <c r="A70" s="59" t="s">
        <v>88</v>
      </c>
      <c r="B70" s="59" t="s">
        <v>342</v>
      </c>
      <c r="C70" s="59" t="s">
        <v>591</v>
      </c>
      <c r="D70" s="59" t="s">
        <v>181</v>
      </c>
      <c r="E70" s="33">
        <v>0.13</v>
      </c>
      <c r="F70" s="33">
        <v>20000</v>
      </c>
      <c r="G70" s="29" t="s">
        <v>89</v>
      </c>
      <c r="H70" s="30" t="s">
        <v>343</v>
      </c>
      <c r="I70" s="29" t="s">
        <v>592</v>
      </c>
      <c r="J70" s="28" t="s">
        <v>182</v>
      </c>
    </row>
    <row r="71" spans="1:10">
      <c r="A71" s="59" t="s">
        <v>88</v>
      </c>
      <c r="B71" s="59" t="s">
        <v>342</v>
      </c>
      <c r="C71" s="59" t="s">
        <v>591</v>
      </c>
      <c r="D71" s="59" t="s">
        <v>181</v>
      </c>
      <c r="E71" s="33">
        <v>0.13</v>
      </c>
      <c r="F71" s="33">
        <v>50000</v>
      </c>
      <c r="G71" s="29" t="s">
        <v>89</v>
      </c>
      <c r="H71" s="30" t="s">
        <v>343</v>
      </c>
      <c r="I71" s="29" t="s">
        <v>592</v>
      </c>
      <c r="J71" s="28" t="s">
        <v>182</v>
      </c>
    </row>
    <row r="72" spans="1:10">
      <c r="A72" s="59" t="s">
        <v>88</v>
      </c>
      <c r="B72" s="59" t="s">
        <v>342</v>
      </c>
      <c r="C72" s="59" t="s">
        <v>591</v>
      </c>
      <c r="D72" s="59" t="s">
        <v>181</v>
      </c>
      <c r="E72" s="33">
        <v>0.12</v>
      </c>
      <c r="F72" s="33">
        <v>999999</v>
      </c>
      <c r="G72" s="29" t="s">
        <v>89</v>
      </c>
      <c r="H72" s="30" t="s">
        <v>343</v>
      </c>
      <c r="I72" s="29" t="s">
        <v>592</v>
      </c>
      <c r="J72" s="28" t="s">
        <v>182</v>
      </c>
    </row>
    <row r="73" spans="1:10">
      <c r="A73" s="59" t="s">
        <v>88</v>
      </c>
      <c r="B73" s="59" t="s">
        <v>342</v>
      </c>
      <c r="C73" s="59" t="s">
        <v>593</v>
      </c>
      <c r="D73" s="59" t="s">
        <v>181</v>
      </c>
      <c r="E73" s="33">
        <v>0.23</v>
      </c>
      <c r="F73" s="33">
        <v>500</v>
      </c>
      <c r="G73" s="29" t="s">
        <v>89</v>
      </c>
      <c r="H73" s="30" t="s">
        <v>343</v>
      </c>
      <c r="I73" s="29" t="s">
        <v>594</v>
      </c>
      <c r="J73" s="28" t="s">
        <v>182</v>
      </c>
    </row>
    <row r="74" spans="1:10">
      <c r="A74" s="59" t="s">
        <v>88</v>
      </c>
      <c r="B74" s="59" t="s">
        <v>342</v>
      </c>
      <c r="C74" s="59" t="s">
        <v>593</v>
      </c>
      <c r="D74" s="59" t="s">
        <v>181</v>
      </c>
      <c r="E74" s="33">
        <v>0.19</v>
      </c>
      <c r="F74" s="33">
        <v>1000</v>
      </c>
      <c r="G74" s="29" t="s">
        <v>89</v>
      </c>
      <c r="H74" s="30" t="s">
        <v>343</v>
      </c>
      <c r="I74" s="29" t="s">
        <v>594</v>
      </c>
      <c r="J74" s="28" t="s">
        <v>182</v>
      </c>
    </row>
    <row r="75" spans="1:10">
      <c r="A75" s="59" t="s">
        <v>88</v>
      </c>
      <c r="B75" s="59" t="s">
        <v>342</v>
      </c>
      <c r="C75" s="59" t="s">
        <v>593</v>
      </c>
      <c r="D75" s="59" t="s">
        <v>181</v>
      </c>
      <c r="E75" s="33">
        <v>0.17</v>
      </c>
      <c r="F75" s="33">
        <v>2000</v>
      </c>
      <c r="G75" s="29" t="s">
        <v>89</v>
      </c>
      <c r="H75" s="30" t="s">
        <v>343</v>
      </c>
      <c r="I75" s="29" t="s">
        <v>594</v>
      </c>
      <c r="J75" s="28" t="s">
        <v>182</v>
      </c>
    </row>
    <row r="76" spans="1:10">
      <c r="A76" s="59" t="s">
        <v>88</v>
      </c>
      <c r="B76" s="59" t="s">
        <v>342</v>
      </c>
      <c r="C76" s="59" t="s">
        <v>593</v>
      </c>
      <c r="D76" s="59" t="s">
        <v>181</v>
      </c>
      <c r="E76" s="33">
        <v>0.16</v>
      </c>
      <c r="F76" s="33">
        <v>5000</v>
      </c>
      <c r="G76" s="29" t="s">
        <v>89</v>
      </c>
      <c r="H76" s="30" t="s">
        <v>343</v>
      </c>
      <c r="I76" s="29" t="s">
        <v>594</v>
      </c>
      <c r="J76" s="28" t="s">
        <v>182</v>
      </c>
    </row>
    <row r="77" spans="1:10">
      <c r="A77" s="59" t="s">
        <v>88</v>
      </c>
      <c r="B77" s="59" t="s">
        <v>342</v>
      </c>
      <c r="C77" s="59" t="s">
        <v>593</v>
      </c>
      <c r="D77" s="59" t="s">
        <v>181</v>
      </c>
      <c r="E77" s="33">
        <v>0.13</v>
      </c>
      <c r="F77" s="33">
        <v>20000</v>
      </c>
      <c r="G77" s="29" t="s">
        <v>89</v>
      </c>
      <c r="H77" s="30" t="s">
        <v>343</v>
      </c>
      <c r="I77" s="29" t="s">
        <v>594</v>
      </c>
      <c r="J77" s="28" t="s">
        <v>182</v>
      </c>
    </row>
    <row r="78" spans="1:10">
      <c r="A78" s="59" t="s">
        <v>88</v>
      </c>
      <c r="B78" s="59" t="s">
        <v>342</v>
      </c>
      <c r="C78" s="59" t="s">
        <v>593</v>
      </c>
      <c r="D78" s="59" t="s">
        <v>181</v>
      </c>
      <c r="E78" s="33">
        <v>0.13</v>
      </c>
      <c r="F78" s="33">
        <v>50000</v>
      </c>
      <c r="G78" s="29" t="s">
        <v>89</v>
      </c>
      <c r="H78" s="30" t="s">
        <v>343</v>
      </c>
      <c r="I78" s="29" t="s">
        <v>594</v>
      </c>
      <c r="J78" s="28" t="s">
        <v>182</v>
      </c>
    </row>
    <row r="79" spans="1:10">
      <c r="A79" s="59" t="s">
        <v>88</v>
      </c>
      <c r="B79" s="59" t="s">
        <v>342</v>
      </c>
      <c r="C79" s="59" t="s">
        <v>593</v>
      </c>
      <c r="D79" s="59" t="s">
        <v>181</v>
      </c>
      <c r="E79" s="33">
        <v>0.13</v>
      </c>
      <c r="F79" s="33">
        <v>999999</v>
      </c>
      <c r="G79" s="29" t="s">
        <v>89</v>
      </c>
      <c r="H79" s="30" t="s">
        <v>343</v>
      </c>
      <c r="I79" s="29" t="s">
        <v>594</v>
      </c>
      <c r="J79" s="28" t="s">
        <v>182</v>
      </c>
    </row>
    <row r="80" spans="1:10">
      <c r="A80" s="59" t="s">
        <v>88</v>
      </c>
      <c r="B80" s="59" t="s">
        <v>342</v>
      </c>
      <c r="C80" s="59" t="s">
        <v>595</v>
      </c>
      <c r="D80" s="59" t="s">
        <v>181</v>
      </c>
      <c r="E80" s="33">
        <v>0.26</v>
      </c>
      <c r="F80" s="33">
        <v>500</v>
      </c>
      <c r="G80" s="29" t="s">
        <v>89</v>
      </c>
      <c r="H80" s="30" t="s">
        <v>343</v>
      </c>
      <c r="I80" s="29" t="s">
        <v>596</v>
      </c>
      <c r="J80" s="28" t="s">
        <v>182</v>
      </c>
    </row>
    <row r="81" spans="1:10">
      <c r="A81" s="59" t="s">
        <v>88</v>
      </c>
      <c r="B81" s="59" t="s">
        <v>342</v>
      </c>
      <c r="C81" s="59" t="s">
        <v>595</v>
      </c>
      <c r="D81" s="59" t="s">
        <v>181</v>
      </c>
      <c r="E81" s="33">
        <v>0.21</v>
      </c>
      <c r="F81" s="33">
        <v>1000</v>
      </c>
      <c r="G81" s="29" t="s">
        <v>89</v>
      </c>
      <c r="H81" s="30" t="s">
        <v>343</v>
      </c>
      <c r="I81" s="29" t="s">
        <v>596</v>
      </c>
      <c r="J81" s="28" t="s">
        <v>182</v>
      </c>
    </row>
    <row r="82" spans="1:10">
      <c r="A82" s="59" t="s">
        <v>88</v>
      </c>
      <c r="B82" s="59" t="s">
        <v>342</v>
      </c>
      <c r="C82" s="59" t="s">
        <v>595</v>
      </c>
      <c r="D82" s="59" t="s">
        <v>181</v>
      </c>
      <c r="E82" s="33">
        <v>0.18</v>
      </c>
      <c r="F82" s="33">
        <v>2000</v>
      </c>
      <c r="G82" s="29" t="s">
        <v>89</v>
      </c>
      <c r="H82" s="30" t="s">
        <v>343</v>
      </c>
      <c r="I82" s="29" t="s">
        <v>596</v>
      </c>
      <c r="J82" s="28" t="s">
        <v>182</v>
      </c>
    </row>
    <row r="83" spans="1:10">
      <c r="A83" s="59" t="s">
        <v>88</v>
      </c>
      <c r="B83" s="59" t="s">
        <v>342</v>
      </c>
      <c r="C83" s="59" t="s">
        <v>595</v>
      </c>
      <c r="D83" s="59" t="s">
        <v>181</v>
      </c>
      <c r="E83" s="33">
        <v>0.17</v>
      </c>
      <c r="F83" s="33">
        <v>5000</v>
      </c>
      <c r="G83" s="29" t="s">
        <v>89</v>
      </c>
      <c r="H83" s="30" t="s">
        <v>343</v>
      </c>
      <c r="I83" s="29" t="s">
        <v>596</v>
      </c>
      <c r="J83" s="28" t="s">
        <v>182</v>
      </c>
    </row>
    <row r="84" spans="1:10">
      <c r="A84" s="59" t="s">
        <v>88</v>
      </c>
      <c r="B84" s="59" t="s">
        <v>342</v>
      </c>
      <c r="C84" s="59" t="s">
        <v>595</v>
      </c>
      <c r="D84" s="59" t="s">
        <v>181</v>
      </c>
      <c r="E84" s="33">
        <v>0.14000000000000001</v>
      </c>
      <c r="F84" s="33">
        <v>20000</v>
      </c>
      <c r="G84" s="29" t="s">
        <v>89</v>
      </c>
      <c r="H84" s="30" t="s">
        <v>343</v>
      </c>
      <c r="I84" s="29" t="s">
        <v>596</v>
      </c>
      <c r="J84" s="28" t="s">
        <v>182</v>
      </c>
    </row>
    <row r="85" spans="1:10">
      <c r="A85" s="59" t="s">
        <v>88</v>
      </c>
      <c r="B85" s="59" t="s">
        <v>342</v>
      </c>
      <c r="C85" s="59" t="s">
        <v>595</v>
      </c>
      <c r="D85" s="59" t="s">
        <v>181</v>
      </c>
      <c r="E85" s="33">
        <v>0.14000000000000001</v>
      </c>
      <c r="F85" s="33">
        <v>50000</v>
      </c>
      <c r="G85" s="29" t="s">
        <v>89</v>
      </c>
      <c r="H85" s="30" t="s">
        <v>343</v>
      </c>
      <c r="I85" s="29" t="s">
        <v>596</v>
      </c>
      <c r="J85" s="28" t="s">
        <v>182</v>
      </c>
    </row>
    <row r="86" spans="1:10">
      <c r="A86" s="59" t="s">
        <v>88</v>
      </c>
      <c r="B86" s="59" t="s">
        <v>342</v>
      </c>
      <c r="C86" s="59" t="s">
        <v>595</v>
      </c>
      <c r="D86" s="59" t="s">
        <v>181</v>
      </c>
      <c r="E86" s="33">
        <v>0.14000000000000001</v>
      </c>
      <c r="F86" s="33">
        <v>999999</v>
      </c>
      <c r="G86" s="29" t="s">
        <v>89</v>
      </c>
      <c r="H86" s="30" t="s">
        <v>343</v>
      </c>
      <c r="I86" s="29" t="s">
        <v>596</v>
      </c>
      <c r="J86" s="28" t="s">
        <v>182</v>
      </c>
    </row>
    <row r="87" spans="1:10">
      <c r="A87" s="59" t="s">
        <v>88</v>
      </c>
      <c r="B87" s="59" t="s">
        <v>342</v>
      </c>
      <c r="C87" s="59" t="s">
        <v>597</v>
      </c>
      <c r="D87" s="59" t="s">
        <v>181</v>
      </c>
      <c r="E87" s="33">
        <v>0.3</v>
      </c>
      <c r="F87" s="33">
        <v>500</v>
      </c>
      <c r="G87" s="29" t="s">
        <v>89</v>
      </c>
      <c r="H87" s="30" t="s">
        <v>343</v>
      </c>
      <c r="I87" s="29" t="s">
        <v>598</v>
      </c>
      <c r="J87" s="28" t="s">
        <v>182</v>
      </c>
    </row>
    <row r="88" spans="1:10">
      <c r="A88" s="59" t="s">
        <v>88</v>
      </c>
      <c r="B88" s="59" t="s">
        <v>342</v>
      </c>
      <c r="C88" s="59" t="s">
        <v>597</v>
      </c>
      <c r="D88" s="59" t="s">
        <v>181</v>
      </c>
      <c r="E88" s="33">
        <v>0.23</v>
      </c>
      <c r="F88" s="33">
        <v>1000</v>
      </c>
      <c r="G88" s="29" t="s">
        <v>89</v>
      </c>
      <c r="H88" s="30" t="s">
        <v>343</v>
      </c>
      <c r="I88" s="29" t="s">
        <v>598</v>
      </c>
      <c r="J88" s="28" t="s">
        <v>182</v>
      </c>
    </row>
    <row r="89" spans="1:10">
      <c r="A89" s="59" t="s">
        <v>88</v>
      </c>
      <c r="B89" s="59" t="s">
        <v>342</v>
      </c>
      <c r="C89" s="59" t="s">
        <v>597</v>
      </c>
      <c r="D89" s="59" t="s">
        <v>181</v>
      </c>
      <c r="E89" s="33">
        <v>0.2</v>
      </c>
      <c r="F89" s="33">
        <v>2000</v>
      </c>
      <c r="G89" s="29" t="s">
        <v>89</v>
      </c>
      <c r="H89" s="30" t="s">
        <v>343</v>
      </c>
      <c r="I89" s="29" t="s">
        <v>598</v>
      </c>
      <c r="J89" s="28" t="s">
        <v>182</v>
      </c>
    </row>
    <row r="90" spans="1:10">
      <c r="A90" s="59" t="s">
        <v>88</v>
      </c>
      <c r="B90" s="59" t="s">
        <v>342</v>
      </c>
      <c r="C90" s="59" t="s">
        <v>597</v>
      </c>
      <c r="D90" s="59" t="s">
        <v>181</v>
      </c>
      <c r="E90" s="33">
        <v>0.19</v>
      </c>
      <c r="F90" s="33">
        <v>5000</v>
      </c>
      <c r="G90" s="29" t="s">
        <v>89</v>
      </c>
      <c r="H90" s="30" t="s">
        <v>343</v>
      </c>
      <c r="I90" s="29" t="s">
        <v>598</v>
      </c>
      <c r="J90" s="28" t="s">
        <v>182</v>
      </c>
    </row>
    <row r="91" spans="1:10">
      <c r="A91" s="59" t="s">
        <v>88</v>
      </c>
      <c r="B91" s="59" t="s">
        <v>342</v>
      </c>
      <c r="C91" s="59" t="s">
        <v>597</v>
      </c>
      <c r="D91" s="59" t="s">
        <v>181</v>
      </c>
      <c r="E91" s="33">
        <v>0.15</v>
      </c>
      <c r="F91" s="33">
        <v>20000</v>
      </c>
      <c r="G91" s="29" t="s">
        <v>89</v>
      </c>
      <c r="H91" s="30" t="s">
        <v>343</v>
      </c>
      <c r="I91" s="29" t="s">
        <v>598</v>
      </c>
      <c r="J91" s="28" t="s">
        <v>182</v>
      </c>
    </row>
    <row r="92" spans="1:10">
      <c r="A92" s="59" t="s">
        <v>88</v>
      </c>
      <c r="B92" s="59" t="s">
        <v>342</v>
      </c>
      <c r="C92" s="59" t="s">
        <v>597</v>
      </c>
      <c r="D92" s="59" t="s">
        <v>181</v>
      </c>
      <c r="E92" s="33">
        <v>0.15</v>
      </c>
      <c r="F92" s="33">
        <v>50000</v>
      </c>
      <c r="G92" s="29" t="s">
        <v>89</v>
      </c>
      <c r="H92" s="30" t="s">
        <v>343</v>
      </c>
      <c r="I92" s="29" t="s">
        <v>598</v>
      </c>
      <c r="J92" s="28" t="s">
        <v>182</v>
      </c>
    </row>
    <row r="93" spans="1:10">
      <c r="A93" s="59" t="s">
        <v>88</v>
      </c>
      <c r="B93" s="59" t="s">
        <v>342</v>
      </c>
      <c r="C93" s="59" t="s">
        <v>597</v>
      </c>
      <c r="D93" s="59" t="s">
        <v>181</v>
      </c>
      <c r="E93" s="33">
        <v>0.15</v>
      </c>
      <c r="F93" s="33">
        <v>999999</v>
      </c>
      <c r="G93" s="29" t="s">
        <v>89</v>
      </c>
      <c r="H93" s="30" t="s">
        <v>343</v>
      </c>
      <c r="I93" s="29" t="s">
        <v>598</v>
      </c>
      <c r="J93" s="28" t="s">
        <v>182</v>
      </c>
    </row>
    <row r="94" spans="1:10">
      <c r="A94" s="59" t="s">
        <v>88</v>
      </c>
      <c r="B94" s="59" t="s">
        <v>342</v>
      </c>
      <c r="C94" s="59" t="s">
        <v>599</v>
      </c>
      <c r="D94" s="59" t="s">
        <v>181</v>
      </c>
      <c r="E94" s="33">
        <v>0.2</v>
      </c>
      <c r="F94" s="33">
        <v>500</v>
      </c>
      <c r="G94" s="29" t="s">
        <v>89</v>
      </c>
      <c r="H94" s="30" t="s">
        <v>343</v>
      </c>
      <c r="I94" s="29" t="s">
        <v>600</v>
      </c>
      <c r="J94" s="28" t="s">
        <v>182</v>
      </c>
    </row>
    <row r="95" spans="1:10">
      <c r="A95" s="59" t="s">
        <v>88</v>
      </c>
      <c r="B95" s="59" t="s">
        <v>342</v>
      </c>
      <c r="C95" s="59" t="s">
        <v>599</v>
      </c>
      <c r="D95" s="59" t="s">
        <v>181</v>
      </c>
      <c r="E95" s="33">
        <v>0.17</v>
      </c>
      <c r="F95" s="33">
        <v>1000</v>
      </c>
      <c r="G95" s="29" t="s">
        <v>89</v>
      </c>
      <c r="H95" s="30" t="s">
        <v>343</v>
      </c>
      <c r="I95" s="29" t="s">
        <v>600</v>
      </c>
      <c r="J95" s="28" t="s">
        <v>182</v>
      </c>
    </row>
    <row r="96" spans="1:10">
      <c r="A96" s="59" t="s">
        <v>88</v>
      </c>
      <c r="B96" s="59" t="s">
        <v>342</v>
      </c>
      <c r="C96" s="59" t="s">
        <v>599</v>
      </c>
      <c r="D96" s="59" t="s">
        <v>181</v>
      </c>
      <c r="E96" s="33">
        <v>0.15</v>
      </c>
      <c r="F96" s="33">
        <v>2000</v>
      </c>
      <c r="G96" s="29" t="s">
        <v>89</v>
      </c>
      <c r="H96" s="30" t="s">
        <v>343</v>
      </c>
      <c r="I96" s="29" t="s">
        <v>600</v>
      </c>
      <c r="J96" s="28" t="s">
        <v>182</v>
      </c>
    </row>
    <row r="97" spans="1:10">
      <c r="A97" s="59" t="s">
        <v>88</v>
      </c>
      <c r="B97" s="59" t="s">
        <v>342</v>
      </c>
      <c r="C97" s="59" t="s">
        <v>599</v>
      </c>
      <c r="D97" s="59" t="s">
        <v>181</v>
      </c>
      <c r="E97" s="33">
        <v>0.14000000000000001</v>
      </c>
      <c r="F97" s="33">
        <v>5000</v>
      </c>
      <c r="G97" s="29" t="s">
        <v>89</v>
      </c>
      <c r="H97" s="30" t="s">
        <v>343</v>
      </c>
      <c r="I97" s="29" t="s">
        <v>600</v>
      </c>
      <c r="J97" s="28" t="s">
        <v>182</v>
      </c>
    </row>
    <row r="98" spans="1:10">
      <c r="A98" s="59" t="s">
        <v>88</v>
      </c>
      <c r="B98" s="59" t="s">
        <v>342</v>
      </c>
      <c r="C98" s="59" t="s">
        <v>599</v>
      </c>
      <c r="D98" s="59" t="s">
        <v>181</v>
      </c>
      <c r="E98" s="33">
        <v>0.12</v>
      </c>
      <c r="F98" s="33">
        <v>20000</v>
      </c>
      <c r="G98" s="29" t="s">
        <v>89</v>
      </c>
      <c r="H98" s="30" t="s">
        <v>343</v>
      </c>
      <c r="I98" s="29" t="s">
        <v>600</v>
      </c>
      <c r="J98" s="28" t="s">
        <v>182</v>
      </c>
    </row>
    <row r="99" spans="1:10">
      <c r="A99" s="59" t="s">
        <v>88</v>
      </c>
      <c r="B99" s="59" t="s">
        <v>342</v>
      </c>
      <c r="C99" s="59" t="s">
        <v>599</v>
      </c>
      <c r="D99" s="59" t="s">
        <v>181</v>
      </c>
      <c r="E99" s="33">
        <v>0.12</v>
      </c>
      <c r="F99" s="33">
        <v>50000</v>
      </c>
      <c r="G99" s="29" t="s">
        <v>89</v>
      </c>
      <c r="H99" s="30" t="s">
        <v>343</v>
      </c>
      <c r="I99" s="29" t="s">
        <v>600</v>
      </c>
      <c r="J99" s="28" t="s">
        <v>182</v>
      </c>
    </row>
    <row r="100" spans="1:10">
      <c r="A100" s="59" t="s">
        <v>88</v>
      </c>
      <c r="B100" s="59" t="s">
        <v>342</v>
      </c>
      <c r="C100" s="59" t="s">
        <v>599</v>
      </c>
      <c r="D100" s="59" t="s">
        <v>181</v>
      </c>
      <c r="E100" s="33">
        <v>0.11</v>
      </c>
      <c r="F100" s="33">
        <v>999999</v>
      </c>
      <c r="G100" s="30" t="s">
        <v>89</v>
      </c>
      <c r="H100" s="30" t="s">
        <v>343</v>
      </c>
      <c r="I100" s="29" t="s">
        <v>600</v>
      </c>
      <c r="J100" s="28" t="s">
        <v>182</v>
      </c>
    </row>
    <row r="101" spans="1:10">
      <c r="A101" s="59" t="s">
        <v>88</v>
      </c>
      <c r="B101" s="59" t="s">
        <v>342</v>
      </c>
      <c r="C101" s="59" t="s">
        <v>601</v>
      </c>
      <c r="D101" s="59" t="s">
        <v>181</v>
      </c>
      <c r="E101" s="33">
        <v>0.24</v>
      </c>
      <c r="F101" s="33">
        <v>500</v>
      </c>
      <c r="G101" s="30" t="s">
        <v>89</v>
      </c>
      <c r="H101" s="30" t="s">
        <v>343</v>
      </c>
      <c r="I101" s="29" t="s">
        <v>602</v>
      </c>
      <c r="J101" s="28" t="s">
        <v>182</v>
      </c>
    </row>
    <row r="102" spans="1:10">
      <c r="A102" s="59" t="s">
        <v>88</v>
      </c>
      <c r="B102" s="59" t="s">
        <v>342</v>
      </c>
      <c r="C102" s="59" t="s">
        <v>601</v>
      </c>
      <c r="D102" s="59" t="s">
        <v>181</v>
      </c>
      <c r="E102" s="33">
        <v>0.19</v>
      </c>
      <c r="F102" s="33">
        <v>1000</v>
      </c>
      <c r="G102" s="30" t="s">
        <v>89</v>
      </c>
      <c r="H102" s="30" t="s">
        <v>343</v>
      </c>
      <c r="I102" s="29" t="s">
        <v>602</v>
      </c>
      <c r="J102" s="28" t="s">
        <v>182</v>
      </c>
    </row>
    <row r="103" spans="1:10">
      <c r="A103" s="59" t="s">
        <v>88</v>
      </c>
      <c r="B103" s="59" t="s">
        <v>342</v>
      </c>
      <c r="C103" s="59" t="s">
        <v>601</v>
      </c>
      <c r="D103" s="59" t="s">
        <v>181</v>
      </c>
      <c r="E103" s="33">
        <v>0.17</v>
      </c>
      <c r="F103" s="33">
        <v>2000</v>
      </c>
      <c r="G103" s="30" t="s">
        <v>89</v>
      </c>
      <c r="H103" s="30" t="s">
        <v>343</v>
      </c>
      <c r="I103" s="29" t="s">
        <v>602</v>
      </c>
      <c r="J103" s="28" t="s">
        <v>182</v>
      </c>
    </row>
    <row r="104" spans="1:10">
      <c r="A104" s="59" t="s">
        <v>88</v>
      </c>
      <c r="B104" s="59" t="s">
        <v>342</v>
      </c>
      <c r="C104" s="59" t="s">
        <v>601</v>
      </c>
      <c r="D104" s="59" t="s">
        <v>181</v>
      </c>
      <c r="E104" s="33">
        <v>0.16</v>
      </c>
      <c r="F104" s="33">
        <v>5000</v>
      </c>
      <c r="G104" s="30" t="s">
        <v>89</v>
      </c>
      <c r="H104" s="30" t="s">
        <v>343</v>
      </c>
      <c r="I104" s="29" t="s">
        <v>602</v>
      </c>
      <c r="J104" s="28" t="s">
        <v>182</v>
      </c>
    </row>
    <row r="105" spans="1:10">
      <c r="A105" s="59" t="s">
        <v>88</v>
      </c>
      <c r="B105" s="59" t="s">
        <v>342</v>
      </c>
      <c r="C105" s="59" t="s">
        <v>601</v>
      </c>
      <c r="D105" s="59" t="s">
        <v>181</v>
      </c>
      <c r="E105" s="33">
        <v>0.12</v>
      </c>
      <c r="F105" s="33">
        <v>20000</v>
      </c>
      <c r="G105" s="30" t="s">
        <v>89</v>
      </c>
      <c r="H105" s="30" t="s">
        <v>343</v>
      </c>
      <c r="I105" s="29" t="s">
        <v>602</v>
      </c>
      <c r="J105" s="28" t="s">
        <v>182</v>
      </c>
    </row>
    <row r="106" spans="1:10">
      <c r="A106" s="59" t="s">
        <v>88</v>
      </c>
      <c r="B106" s="59" t="s">
        <v>342</v>
      </c>
      <c r="C106" s="59" t="s">
        <v>601</v>
      </c>
      <c r="D106" s="59" t="s">
        <v>181</v>
      </c>
      <c r="E106" s="33">
        <v>0.12</v>
      </c>
      <c r="F106" s="33">
        <v>50000</v>
      </c>
      <c r="G106" s="30" t="s">
        <v>89</v>
      </c>
      <c r="H106" s="30" t="s">
        <v>343</v>
      </c>
      <c r="I106" s="29" t="s">
        <v>602</v>
      </c>
      <c r="J106" s="28" t="s">
        <v>182</v>
      </c>
    </row>
    <row r="107" spans="1:10">
      <c r="A107" s="59" t="s">
        <v>88</v>
      </c>
      <c r="B107" s="59" t="s">
        <v>342</v>
      </c>
      <c r="C107" s="59" t="s">
        <v>601</v>
      </c>
      <c r="D107" s="59" t="s">
        <v>181</v>
      </c>
      <c r="E107" s="33">
        <v>0.12</v>
      </c>
      <c r="F107" s="33">
        <v>999999</v>
      </c>
      <c r="G107" s="30" t="s">
        <v>89</v>
      </c>
      <c r="H107" s="30" t="s">
        <v>343</v>
      </c>
      <c r="I107" s="29" t="s">
        <v>602</v>
      </c>
      <c r="J107" s="28" t="s">
        <v>182</v>
      </c>
    </row>
    <row r="108" spans="1:10">
      <c r="A108" s="59" t="s">
        <v>88</v>
      </c>
      <c r="B108" s="59" t="s">
        <v>342</v>
      </c>
      <c r="C108" s="59" t="s">
        <v>603</v>
      </c>
      <c r="D108" s="59" t="s">
        <v>181</v>
      </c>
      <c r="E108" s="33">
        <v>0.28000000000000003</v>
      </c>
      <c r="F108" s="33">
        <v>500</v>
      </c>
      <c r="G108" s="30" t="s">
        <v>89</v>
      </c>
      <c r="H108" s="30" t="s">
        <v>343</v>
      </c>
      <c r="I108" s="29" t="s">
        <v>604</v>
      </c>
      <c r="J108" s="28" t="s">
        <v>182</v>
      </c>
    </row>
    <row r="109" spans="1:10">
      <c r="A109" s="59" t="s">
        <v>88</v>
      </c>
      <c r="B109" s="59" t="s">
        <v>342</v>
      </c>
      <c r="C109" s="59" t="s">
        <v>603</v>
      </c>
      <c r="D109" s="59" t="s">
        <v>181</v>
      </c>
      <c r="E109" s="33">
        <v>0.21</v>
      </c>
      <c r="F109" s="33">
        <v>1000</v>
      </c>
      <c r="G109" s="30" t="s">
        <v>89</v>
      </c>
      <c r="H109" s="30" t="s">
        <v>343</v>
      </c>
      <c r="I109" s="29" t="s">
        <v>604</v>
      </c>
      <c r="J109" s="28" t="s">
        <v>182</v>
      </c>
    </row>
    <row r="110" spans="1:10">
      <c r="A110" s="59" t="s">
        <v>88</v>
      </c>
      <c r="B110" s="59" t="s">
        <v>342</v>
      </c>
      <c r="C110" s="59" t="s">
        <v>603</v>
      </c>
      <c r="D110" s="59" t="s">
        <v>181</v>
      </c>
      <c r="E110" s="33">
        <v>0.18</v>
      </c>
      <c r="F110" s="33">
        <v>2000</v>
      </c>
      <c r="G110" s="30" t="s">
        <v>89</v>
      </c>
      <c r="H110" s="30" t="s">
        <v>343</v>
      </c>
      <c r="I110" s="29" t="s">
        <v>604</v>
      </c>
      <c r="J110" s="28" t="s">
        <v>182</v>
      </c>
    </row>
    <row r="111" spans="1:10">
      <c r="A111" s="59" t="s">
        <v>88</v>
      </c>
      <c r="B111" s="59" t="s">
        <v>342</v>
      </c>
      <c r="C111" s="59" t="s">
        <v>603</v>
      </c>
      <c r="D111" s="59" t="s">
        <v>181</v>
      </c>
      <c r="E111" s="33">
        <v>0.17</v>
      </c>
      <c r="F111" s="33">
        <v>5000</v>
      </c>
      <c r="G111" s="30" t="s">
        <v>89</v>
      </c>
      <c r="H111" s="30" t="s">
        <v>343</v>
      </c>
      <c r="I111" s="29" t="s">
        <v>604</v>
      </c>
      <c r="J111" s="28" t="s">
        <v>182</v>
      </c>
    </row>
    <row r="112" spans="1:10">
      <c r="A112" s="59" t="s">
        <v>88</v>
      </c>
      <c r="B112" s="59" t="s">
        <v>342</v>
      </c>
      <c r="C112" s="59" t="s">
        <v>603</v>
      </c>
      <c r="D112" s="59" t="s">
        <v>181</v>
      </c>
      <c r="E112" s="33">
        <v>0.13</v>
      </c>
      <c r="F112" s="33">
        <v>20000</v>
      </c>
      <c r="G112" s="30" t="s">
        <v>89</v>
      </c>
      <c r="H112" s="30" t="s">
        <v>343</v>
      </c>
      <c r="I112" s="29" t="s">
        <v>604</v>
      </c>
      <c r="J112" s="28" t="s">
        <v>182</v>
      </c>
    </row>
    <row r="113" spans="1:10">
      <c r="A113" s="59" t="s">
        <v>88</v>
      </c>
      <c r="B113" s="59" t="s">
        <v>342</v>
      </c>
      <c r="C113" s="59" t="s">
        <v>603</v>
      </c>
      <c r="D113" s="59" t="s">
        <v>181</v>
      </c>
      <c r="E113" s="33">
        <v>0.13</v>
      </c>
      <c r="F113" s="33">
        <v>50000</v>
      </c>
      <c r="G113" s="30" t="s">
        <v>89</v>
      </c>
      <c r="H113" s="30" t="s">
        <v>343</v>
      </c>
      <c r="I113" s="29" t="s">
        <v>604</v>
      </c>
      <c r="J113" s="28" t="s">
        <v>182</v>
      </c>
    </row>
    <row r="114" spans="1:10">
      <c r="A114" s="59" t="s">
        <v>88</v>
      </c>
      <c r="B114" s="59" t="s">
        <v>342</v>
      </c>
      <c r="C114" s="59" t="s">
        <v>603</v>
      </c>
      <c r="D114" s="59" t="s">
        <v>181</v>
      </c>
      <c r="E114" s="33">
        <v>0.13</v>
      </c>
      <c r="F114" s="33">
        <v>999999</v>
      </c>
      <c r="G114" s="29" t="s">
        <v>89</v>
      </c>
      <c r="H114" s="30" t="s">
        <v>343</v>
      </c>
      <c r="I114" s="29" t="s">
        <v>604</v>
      </c>
      <c r="J114" s="28" t="s">
        <v>182</v>
      </c>
    </row>
    <row r="115" spans="1:10">
      <c r="A115" s="59" t="s">
        <v>88</v>
      </c>
      <c r="B115" s="59" t="s">
        <v>342</v>
      </c>
      <c r="C115" s="59" t="s">
        <v>605</v>
      </c>
      <c r="D115" s="59" t="s">
        <v>181</v>
      </c>
      <c r="E115" s="33">
        <v>0.31</v>
      </c>
      <c r="F115" s="33">
        <v>500</v>
      </c>
      <c r="G115" s="29" t="s">
        <v>89</v>
      </c>
      <c r="H115" s="30" t="s">
        <v>343</v>
      </c>
      <c r="I115" s="29" t="s">
        <v>606</v>
      </c>
      <c r="J115" s="28" t="s">
        <v>182</v>
      </c>
    </row>
    <row r="116" spans="1:10">
      <c r="A116" s="59" t="s">
        <v>88</v>
      </c>
      <c r="B116" s="59" t="s">
        <v>342</v>
      </c>
      <c r="C116" s="59" t="s">
        <v>605</v>
      </c>
      <c r="D116" s="59" t="s">
        <v>181</v>
      </c>
      <c r="E116" s="33">
        <v>0.24</v>
      </c>
      <c r="F116" s="33">
        <v>1000</v>
      </c>
      <c r="G116" s="29" t="s">
        <v>89</v>
      </c>
      <c r="H116" s="30" t="s">
        <v>343</v>
      </c>
      <c r="I116" s="29" t="s">
        <v>606</v>
      </c>
      <c r="J116" s="28" t="s">
        <v>182</v>
      </c>
    </row>
    <row r="117" spans="1:10">
      <c r="A117" s="59" t="s">
        <v>88</v>
      </c>
      <c r="B117" s="59" t="s">
        <v>342</v>
      </c>
      <c r="C117" s="59" t="s">
        <v>605</v>
      </c>
      <c r="D117" s="59" t="s">
        <v>181</v>
      </c>
      <c r="E117" s="33">
        <v>0.2</v>
      </c>
      <c r="F117" s="33">
        <v>2000</v>
      </c>
      <c r="G117" s="29" t="s">
        <v>89</v>
      </c>
      <c r="H117" s="30" t="s">
        <v>343</v>
      </c>
      <c r="I117" s="29" t="s">
        <v>606</v>
      </c>
      <c r="J117" s="28" t="s">
        <v>182</v>
      </c>
    </row>
    <row r="118" spans="1:10">
      <c r="A118" s="59" t="s">
        <v>88</v>
      </c>
      <c r="B118" s="59" t="s">
        <v>342</v>
      </c>
      <c r="C118" s="59" t="s">
        <v>605</v>
      </c>
      <c r="D118" s="59" t="s">
        <v>181</v>
      </c>
      <c r="E118" s="33">
        <v>0.19</v>
      </c>
      <c r="F118" s="33">
        <v>5000</v>
      </c>
      <c r="G118" s="29" t="s">
        <v>89</v>
      </c>
      <c r="H118" s="30" t="s">
        <v>343</v>
      </c>
      <c r="I118" s="29" t="s">
        <v>606</v>
      </c>
      <c r="J118" s="28" t="s">
        <v>182</v>
      </c>
    </row>
    <row r="119" spans="1:10">
      <c r="A119" s="59" t="s">
        <v>88</v>
      </c>
      <c r="B119" s="59" t="s">
        <v>342</v>
      </c>
      <c r="C119" s="59" t="s">
        <v>605</v>
      </c>
      <c r="D119" s="59" t="s">
        <v>181</v>
      </c>
      <c r="E119" s="33">
        <v>0.14000000000000001</v>
      </c>
      <c r="F119" s="33">
        <v>20000</v>
      </c>
      <c r="G119" s="29" t="s">
        <v>89</v>
      </c>
      <c r="H119" s="30" t="s">
        <v>343</v>
      </c>
      <c r="I119" s="29" t="s">
        <v>606</v>
      </c>
      <c r="J119" s="28" t="s">
        <v>182</v>
      </c>
    </row>
    <row r="120" spans="1:10">
      <c r="A120" s="59" t="s">
        <v>88</v>
      </c>
      <c r="B120" s="59" t="s">
        <v>342</v>
      </c>
      <c r="C120" s="59" t="s">
        <v>605</v>
      </c>
      <c r="D120" s="59" t="s">
        <v>181</v>
      </c>
      <c r="E120" s="33">
        <v>0.13</v>
      </c>
      <c r="F120" s="33">
        <v>50000</v>
      </c>
      <c r="G120" s="29" t="s">
        <v>89</v>
      </c>
      <c r="H120" s="30" t="s">
        <v>343</v>
      </c>
      <c r="I120" s="29" t="s">
        <v>606</v>
      </c>
      <c r="J120" s="28" t="s">
        <v>182</v>
      </c>
    </row>
    <row r="121" spans="1:10">
      <c r="A121" s="59" t="s">
        <v>88</v>
      </c>
      <c r="B121" s="59" t="s">
        <v>342</v>
      </c>
      <c r="C121" s="59" t="s">
        <v>605</v>
      </c>
      <c r="D121" s="59" t="s">
        <v>181</v>
      </c>
      <c r="E121" s="33">
        <v>0.13</v>
      </c>
      <c r="F121" s="33">
        <v>999999</v>
      </c>
      <c r="G121" s="29" t="s">
        <v>89</v>
      </c>
      <c r="H121" s="30" t="s">
        <v>343</v>
      </c>
      <c r="I121" s="29" t="s">
        <v>606</v>
      </c>
      <c r="J121" s="28" t="s">
        <v>182</v>
      </c>
    </row>
    <row r="122" spans="1:10">
      <c r="A122" s="59" t="s">
        <v>88</v>
      </c>
      <c r="B122" s="59" t="s">
        <v>390</v>
      </c>
      <c r="C122" s="59" t="s">
        <v>607</v>
      </c>
      <c r="D122" s="59" t="s">
        <v>181</v>
      </c>
      <c r="E122" s="33">
        <v>0.45</v>
      </c>
      <c r="F122" s="33">
        <v>500</v>
      </c>
      <c r="G122" s="29" t="s">
        <v>89</v>
      </c>
      <c r="H122" s="30" t="s">
        <v>391</v>
      </c>
      <c r="I122" s="29" t="s">
        <v>608</v>
      </c>
      <c r="J122" s="28" t="s">
        <v>182</v>
      </c>
    </row>
    <row r="123" spans="1:10">
      <c r="A123" s="59" t="s">
        <v>88</v>
      </c>
      <c r="B123" s="59" t="s">
        <v>390</v>
      </c>
      <c r="C123" s="59" t="s">
        <v>607</v>
      </c>
      <c r="D123" s="59" t="s">
        <v>181</v>
      </c>
      <c r="E123" s="33">
        <v>0.34</v>
      </c>
      <c r="F123" s="33">
        <v>1000</v>
      </c>
      <c r="G123" s="29" t="s">
        <v>89</v>
      </c>
      <c r="H123" s="30" t="s">
        <v>391</v>
      </c>
      <c r="I123" s="29" t="s">
        <v>608</v>
      </c>
      <c r="J123" s="28" t="s">
        <v>182</v>
      </c>
    </row>
    <row r="124" spans="1:10">
      <c r="A124" s="59" t="s">
        <v>88</v>
      </c>
      <c r="B124" s="59" t="s">
        <v>390</v>
      </c>
      <c r="C124" s="59" t="s">
        <v>607</v>
      </c>
      <c r="D124" s="59" t="s">
        <v>181</v>
      </c>
      <c r="E124" s="33">
        <v>0.3</v>
      </c>
      <c r="F124" s="33">
        <v>2000</v>
      </c>
      <c r="G124" s="29" t="s">
        <v>89</v>
      </c>
      <c r="H124" s="30" t="s">
        <v>391</v>
      </c>
      <c r="I124" s="29" t="s">
        <v>608</v>
      </c>
      <c r="J124" s="28" t="s">
        <v>182</v>
      </c>
    </row>
    <row r="125" spans="1:10">
      <c r="A125" s="59" t="s">
        <v>88</v>
      </c>
      <c r="B125" s="59" t="s">
        <v>390</v>
      </c>
      <c r="C125" s="59" t="s">
        <v>607</v>
      </c>
      <c r="D125" s="59" t="s">
        <v>181</v>
      </c>
      <c r="E125" s="33">
        <v>0.27</v>
      </c>
      <c r="F125" s="33">
        <v>5000</v>
      </c>
      <c r="G125" s="29" t="s">
        <v>89</v>
      </c>
      <c r="H125" s="30" t="s">
        <v>391</v>
      </c>
      <c r="I125" s="29" t="s">
        <v>608</v>
      </c>
      <c r="J125" s="28" t="s">
        <v>182</v>
      </c>
    </row>
    <row r="126" spans="1:10">
      <c r="A126" s="59" t="s">
        <v>88</v>
      </c>
      <c r="B126" s="59" t="s">
        <v>390</v>
      </c>
      <c r="C126" s="59" t="s">
        <v>607</v>
      </c>
      <c r="D126" s="59" t="s">
        <v>181</v>
      </c>
      <c r="E126" s="33">
        <v>0.24</v>
      </c>
      <c r="F126" s="33">
        <v>20000</v>
      </c>
      <c r="G126" s="29" t="s">
        <v>89</v>
      </c>
      <c r="H126" s="30" t="s">
        <v>391</v>
      </c>
      <c r="I126" s="29" t="s">
        <v>608</v>
      </c>
      <c r="J126" s="28" t="s">
        <v>182</v>
      </c>
    </row>
    <row r="127" spans="1:10">
      <c r="A127" s="59" t="s">
        <v>88</v>
      </c>
      <c r="B127" s="59" t="s">
        <v>390</v>
      </c>
      <c r="C127" s="59" t="s">
        <v>607</v>
      </c>
      <c r="D127" s="59" t="s">
        <v>181</v>
      </c>
      <c r="E127" s="33">
        <v>0.21</v>
      </c>
      <c r="F127" s="33">
        <v>50000</v>
      </c>
      <c r="G127" s="29" t="s">
        <v>89</v>
      </c>
      <c r="H127" s="30" t="s">
        <v>391</v>
      </c>
      <c r="I127" s="29" t="s">
        <v>608</v>
      </c>
      <c r="J127" s="28" t="s">
        <v>182</v>
      </c>
    </row>
    <row r="128" spans="1:10">
      <c r="A128" s="59" t="s">
        <v>88</v>
      </c>
      <c r="B128" s="59" t="s">
        <v>390</v>
      </c>
      <c r="C128" s="59" t="s">
        <v>607</v>
      </c>
      <c r="D128" s="59" t="s">
        <v>181</v>
      </c>
      <c r="E128" s="33">
        <v>0.21</v>
      </c>
      <c r="F128" s="33">
        <v>999999</v>
      </c>
      <c r="G128" s="29" t="s">
        <v>89</v>
      </c>
      <c r="H128" s="30" t="s">
        <v>391</v>
      </c>
      <c r="I128" s="29" t="s">
        <v>608</v>
      </c>
      <c r="J128" s="28" t="s">
        <v>182</v>
      </c>
    </row>
    <row r="129" spans="1:10">
      <c r="A129" s="59" t="s">
        <v>88</v>
      </c>
      <c r="B129" s="59" t="s">
        <v>390</v>
      </c>
      <c r="C129" s="59" t="s">
        <v>609</v>
      </c>
      <c r="D129" s="59" t="s">
        <v>181</v>
      </c>
      <c r="E129" s="33">
        <v>0.63</v>
      </c>
      <c r="F129" s="33">
        <v>500</v>
      </c>
      <c r="G129" s="29" t="s">
        <v>89</v>
      </c>
      <c r="H129" s="30" t="s">
        <v>391</v>
      </c>
      <c r="I129" s="29" t="s">
        <v>610</v>
      </c>
      <c r="J129" s="28" t="s">
        <v>182</v>
      </c>
    </row>
    <row r="130" spans="1:10">
      <c r="A130" s="59" t="s">
        <v>88</v>
      </c>
      <c r="B130" s="59" t="s">
        <v>390</v>
      </c>
      <c r="C130" s="59" t="s">
        <v>609</v>
      </c>
      <c r="D130" s="59" t="s">
        <v>181</v>
      </c>
      <c r="E130" s="33">
        <v>0.45</v>
      </c>
      <c r="F130" s="33">
        <v>1000</v>
      </c>
      <c r="G130" s="29" t="s">
        <v>89</v>
      </c>
      <c r="H130" s="30" t="s">
        <v>391</v>
      </c>
      <c r="I130" s="29" t="s">
        <v>610</v>
      </c>
      <c r="J130" s="28" t="s">
        <v>182</v>
      </c>
    </row>
    <row r="131" spans="1:10">
      <c r="A131" s="59" t="s">
        <v>88</v>
      </c>
      <c r="B131" s="59" t="s">
        <v>390</v>
      </c>
      <c r="C131" s="59" t="s">
        <v>609</v>
      </c>
      <c r="D131" s="59" t="s">
        <v>181</v>
      </c>
      <c r="E131" s="33">
        <v>0.37</v>
      </c>
      <c r="F131" s="33">
        <v>2000</v>
      </c>
      <c r="G131" s="29" t="s">
        <v>89</v>
      </c>
      <c r="H131" s="30" t="s">
        <v>391</v>
      </c>
      <c r="I131" s="29" t="s">
        <v>610</v>
      </c>
      <c r="J131" s="28" t="s">
        <v>182</v>
      </c>
    </row>
    <row r="132" spans="1:10">
      <c r="A132" s="59" t="s">
        <v>88</v>
      </c>
      <c r="B132" s="59" t="s">
        <v>390</v>
      </c>
      <c r="C132" s="59" t="s">
        <v>609</v>
      </c>
      <c r="D132" s="59" t="s">
        <v>181</v>
      </c>
      <c r="E132" s="33">
        <v>0.31</v>
      </c>
      <c r="F132" s="33">
        <v>5000</v>
      </c>
      <c r="G132" s="29" t="s">
        <v>89</v>
      </c>
      <c r="H132" s="30" t="s">
        <v>391</v>
      </c>
      <c r="I132" s="29" t="s">
        <v>610</v>
      </c>
      <c r="J132" s="28" t="s">
        <v>182</v>
      </c>
    </row>
    <row r="133" spans="1:10">
      <c r="A133" s="59" t="s">
        <v>88</v>
      </c>
      <c r="B133" s="59" t="s">
        <v>390</v>
      </c>
      <c r="C133" s="59" t="s">
        <v>609</v>
      </c>
      <c r="D133" s="59" t="s">
        <v>181</v>
      </c>
      <c r="E133" s="33">
        <v>0.25</v>
      </c>
      <c r="F133" s="33">
        <v>20000</v>
      </c>
      <c r="G133" s="29" t="s">
        <v>89</v>
      </c>
      <c r="H133" s="30" t="s">
        <v>391</v>
      </c>
      <c r="I133" s="29" t="s">
        <v>610</v>
      </c>
      <c r="J133" s="28" t="s">
        <v>182</v>
      </c>
    </row>
    <row r="134" spans="1:10">
      <c r="A134" s="59" t="s">
        <v>88</v>
      </c>
      <c r="B134" s="59" t="s">
        <v>390</v>
      </c>
      <c r="C134" s="59" t="s">
        <v>609</v>
      </c>
      <c r="D134" s="59" t="s">
        <v>181</v>
      </c>
      <c r="E134" s="33">
        <v>0.22</v>
      </c>
      <c r="F134" s="33">
        <v>50000</v>
      </c>
      <c r="G134" s="29" t="s">
        <v>89</v>
      </c>
      <c r="H134" s="30" t="s">
        <v>391</v>
      </c>
      <c r="I134" s="29" t="s">
        <v>610</v>
      </c>
      <c r="J134" s="28" t="s">
        <v>182</v>
      </c>
    </row>
    <row r="135" spans="1:10">
      <c r="A135" s="59" t="s">
        <v>88</v>
      </c>
      <c r="B135" s="59" t="s">
        <v>390</v>
      </c>
      <c r="C135" s="59" t="s">
        <v>609</v>
      </c>
      <c r="D135" s="59" t="s">
        <v>181</v>
      </c>
      <c r="E135" s="33">
        <v>0.22</v>
      </c>
      <c r="F135" s="33">
        <v>999999</v>
      </c>
      <c r="G135" s="29" t="s">
        <v>89</v>
      </c>
      <c r="H135" s="30" t="s">
        <v>391</v>
      </c>
      <c r="I135" s="29" t="s">
        <v>610</v>
      </c>
      <c r="J135" s="28" t="s">
        <v>182</v>
      </c>
    </row>
    <row r="136" spans="1:10">
      <c r="A136" s="59" t="s">
        <v>88</v>
      </c>
      <c r="B136" s="59" t="s">
        <v>390</v>
      </c>
      <c r="C136" s="59" t="s">
        <v>611</v>
      </c>
      <c r="D136" s="59" t="s">
        <v>181</v>
      </c>
      <c r="E136" s="33">
        <v>0.74</v>
      </c>
      <c r="F136" s="33">
        <v>500</v>
      </c>
      <c r="G136" s="29" t="s">
        <v>89</v>
      </c>
      <c r="H136" s="30" t="s">
        <v>391</v>
      </c>
      <c r="I136" s="29" t="s">
        <v>612</v>
      </c>
      <c r="J136" s="28" t="s">
        <v>182</v>
      </c>
    </row>
    <row r="137" spans="1:10">
      <c r="A137" s="59" t="s">
        <v>88</v>
      </c>
      <c r="B137" s="59" t="s">
        <v>390</v>
      </c>
      <c r="C137" s="59" t="s">
        <v>611</v>
      </c>
      <c r="D137" s="59" t="s">
        <v>181</v>
      </c>
      <c r="E137" s="33">
        <v>0.55000000000000004</v>
      </c>
      <c r="F137" s="33">
        <v>1000</v>
      </c>
      <c r="G137" s="29" t="s">
        <v>89</v>
      </c>
      <c r="H137" s="30" t="s">
        <v>391</v>
      </c>
      <c r="I137" s="29" t="s">
        <v>612</v>
      </c>
      <c r="J137" s="28" t="s">
        <v>182</v>
      </c>
    </row>
    <row r="138" spans="1:10">
      <c r="A138" s="59" t="s">
        <v>88</v>
      </c>
      <c r="B138" s="59" t="s">
        <v>390</v>
      </c>
      <c r="C138" s="59" t="s">
        <v>611</v>
      </c>
      <c r="D138" s="59" t="s">
        <v>181</v>
      </c>
      <c r="E138" s="33">
        <v>0.43</v>
      </c>
      <c r="F138" s="33">
        <v>2000</v>
      </c>
      <c r="G138" s="29" t="s">
        <v>89</v>
      </c>
      <c r="H138" s="30" t="s">
        <v>391</v>
      </c>
      <c r="I138" s="29" t="s">
        <v>612</v>
      </c>
      <c r="J138" s="28" t="s">
        <v>182</v>
      </c>
    </row>
    <row r="139" spans="1:10">
      <c r="A139" s="59" t="s">
        <v>88</v>
      </c>
      <c r="B139" s="59" t="s">
        <v>390</v>
      </c>
      <c r="C139" s="59" t="s">
        <v>611</v>
      </c>
      <c r="D139" s="59" t="s">
        <v>181</v>
      </c>
      <c r="E139" s="33">
        <v>0.34</v>
      </c>
      <c r="F139" s="33">
        <v>5000</v>
      </c>
      <c r="G139" s="29" t="s">
        <v>89</v>
      </c>
      <c r="H139" s="30" t="s">
        <v>391</v>
      </c>
      <c r="I139" s="29" t="s">
        <v>612</v>
      </c>
      <c r="J139" s="28" t="s">
        <v>182</v>
      </c>
    </row>
    <row r="140" spans="1:10">
      <c r="A140" s="59" t="s">
        <v>88</v>
      </c>
      <c r="B140" s="59" t="s">
        <v>390</v>
      </c>
      <c r="C140" s="59" t="s">
        <v>611</v>
      </c>
      <c r="D140" s="59" t="s">
        <v>181</v>
      </c>
      <c r="E140" s="33">
        <v>0.26</v>
      </c>
      <c r="F140" s="33">
        <v>20000</v>
      </c>
      <c r="G140" s="29" t="s">
        <v>89</v>
      </c>
      <c r="H140" s="30" t="s">
        <v>391</v>
      </c>
      <c r="I140" s="29" t="s">
        <v>612</v>
      </c>
      <c r="J140" s="28" t="s">
        <v>182</v>
      </c>
    </row>
    <row r="141" spans="1:10">
      <c r="A141" s="59" t="s">
        <v>88</v>
      </c>
      <c r="B141" s="59" t="s">
        <v>390</v>
      </c>
      <c r="C141" s="59" t="s">
        <v>611</v>
      </c>
      <c r="D141" s="59" t="s">
        <v>181</v>
      </c>
      <c r="E141" s="33">
        <v>0.23</v>
      </c>
      <c r="F141" s="33">
        <v>50000</v>
      </c>
      <c r="G141" s="29" t="s">
        <v>89</v>
      </c>
      <c r="H141" s="30" t="s">
        <v>391</v>
      </c>
      <c r="I141" s="29" t="s">
        <v>612</v>
      </c>
      <c r="J141" s="28" t="s">
        <v>182</v>
      </c>
    </row>
    <row r="142" spans="1:10">
      <c r="A142" s="59" t="s">
        <v>88</v>
      </c>
      <c r="B142" s="59" t="s">
        <v>390</v>
      </c>
      <c r="C142" s="59" t="s">
        <v>611</v>
      </c>
      <c r="D142" s="59" t="s">
        <v>181</v>
      </c>
      <c r="E142" s="33">
        <v>0.23</v>
      </c>
      <c r="F142" s="33">
        <v>999999</v>
      </c>
      <c r="G142" s="29" t="s">
        <v>89</v>
      </c>
      <c r="H142" s="30" t="s">
        <v>391</v>
      </c>
      <c r="I142" s="29" t="s">
        <v>612</v>
      </c>
      <c r="J142" s="28" t="s">
        <v>182</v>
      </c>
    </row>
    <row r="143" spans="1:10">
      <c r="A143" s="59" t="s">
        <v>88</v>
      </c>
      <c r="B143" s="59" t="s">
        <v>390</v>
      </c>
      <c r="C143" s="59" t="s">
        <v>613</v>
      </c>
      <c r="D143" s="59" t="s">
        <v>181</v>
      </c>
      <c r="E143" s="33">
        <v>0.74</v>
      </c>
      <c r="F143" s="33">
        <v>500</v>
      </c>
      <c r="G143" s="29" t="s">
        <v>89</v>
      </c>
      <c r="H143" s="30" t="s">
        <v>391</v>
      </c>
      <c r="I143" s="29" t="s">
        <v>614</v>
      </c>
      <c r="J143" s="28" t="s">
        <v>182</v>
      </c>
    </row>
    <row r="144" spans="1:10">
      <c r="A144" s="59" t="s">
        <v>88</v>
      </c>
      <c r="B144" s="59" t="s">
        <v>390</v>
      </c>
      <c r="C144" s="59" t="s">
        <v>613</v>
      </c>
      <c r="D144" s="59" t="s">
        <v>181</v>
      </c>
      <c r="E144" s="33">
        <v>0.63</v>
      </c>
      <c r="F144" s="33">
        <v>1000</v>
      </c>
      <c r="G144" s="29" t="s">
        <v>89</v>
      </c>
      <c r="H144" s="30" t="s">
        <v>391</v>
      </c>
      <c r="I144" s="29" t="s">
        <v>614</v>
      </c>
      <c r="J144" s="28" t="s">
        <v>182</v>
      </c>
    </row>
    <row r="145" spans="1:10">
      <c r="A145" s="59" t="s">
        <v>88</v>
      </c>
      <c r="B145" s="59" t="s">
        <v>390</v>
      </c>
      <c r="C145" s="59" t="s">
        <v>613</v>
      </c>
      <c r="D145" s="59" t="s">
        <v>181</v>
      </c>
      <c r="E145" s="33">
        <v>0.45</v>
      </c>
      <c r="F145" s="33">
        <v>2000</v>
      </c>
      <c r="G145" s="29" t="s">
        <v>89</v>
      </c>
      <c r="H145" s="30" t="s">
        <v>391</v>
      </c>
      <c r="I145" s="29" t="s">
        <v>614</v>
      </c>
      <c r="J145" s="28" t="s">
        <v>182</v>
      </c>
    </row>
    <row r="146" spans="1:10">
      <c r="A146" s="59" t="s">
        <v>88</v>
      </c>
      <c r="B146" s="59" t="s">
        <v>390</v>
      </c>
      <c r="C146" s="59" t="s">
        <v>613</v>
      </c>
      <c r="D146" s="59" t="s">
        <v>181</v>
      </c>
      <c r="E146" s="33">
        <v>0.37</v>
      </c>
      <c r="F146" s="33">
        <v>5000</v>
      </c>
      <c r="G146" s="29" t="s">
        <v>89</v>
      </c>
      <c r="H146" s="30" t="s">
        <v>391</v>
      </c>
      <c r="I146" s="29" t="s">
        <v>614</v>
      </c>
      <c r="J146" s="28" t="s">
        <v>182</v>
      </c>
    </row>
    <row r="147" spans="1:10">
      <c r="A147" s="59" t="s">
        <v>88</v>
      </c>
      <c r="B147" s="59" t="s">
        <v>390</v>
      </c>
      <c r="C147" s="59" t="s">
        <v>613</v>
      </c>
      <c r="D147" s="59" t="s">
        <v>181</v>
      </c>
      <c r="E147" s="33">
        <v>0.27</v>
      </c>
      <c r="F147" s="33">
        <v>20000</v>
      </c>
      <c r="G147" s="29" t="s">
        <v>89</v>
      </c>
      <c r="H147" s="30" t="s">
        <v>391</v>
      </c>
      <c r="I147" s="29" t="s">
        <v>614</v>
      </c>
      <c r="J147" s="28" t="s">
        <v>182</v>
      </c>
    </row>
    <row r="148" spans="1:10">
      <c r="A148" s="59" t="s">
        <v>88</v>
      </c>
      <c r="B148" s="59" t="s">
        <v>390</v>
      </c>
      <c r="C148" s="59" t="s">
        <v>613</v>
      </c>
      <c r="D148" s="59" t="s">
        <v>181</v>
      </c>
      <c r="E148" s="33">
        <v>0.24</v>
      </c>
      <c r="F148" s="33">
        <v>50000</v>
      </c>
      <c r="G148" s="29" t="s">
        <v>89</v>
      </c>
      <c r="H148" s="30" t="s">
        <v>391</v>
      </c>
      <c r="I148" s="29" t="s">
        <v>614</v>
      </c>
      <c r="J148" s="28" t="s">
        <v>182</v>
      </c>
    </row>
    <row r="149" spans="1:10">
      <c r="A149" s="59" t="s">
        <v>88</v>
      </c>
      <c r="B149" s="59" t="s">
        <v>390</v>
      </c>
      <c r="C149" s="59" t="s">
        <v>613</v>
      </c>
      <c r="D149" s="59" t="s">
        <v>181</v>
      </c>
      <c r="E149" s="33">
        <v>0.24</v>
      </c>
      <c r="F149" s="33">
        <v>999999</v>
      </c>
      <c r="G149" s="29" t="s">
        <v>89</v>
      </c>
      <c r="H149" s="30" t="s">
        <v>391</v>
      </c>
      <c r="I149" s="29" t="s">
        <v>614</v>
      </c>
      <c r="J149" s="28" t="s">
        <v>182</v>
      </c>
    </row>
    <row r="150" spans="1:10">
      <c r="A150" s="59" t="s">
        <v>88</v>
      </c>
      <c r="B150" s="59" t="s">
        <v>390</v>
      </c>
      <c r="C150" s="59" t="s">
        <v>615</v>
      </c>
      <c r="D150" s="59" t="s">
        <v>181</v>
      </c>
      <c r="E150" s="33">
        <v>0.48</v>
      </c>
      <c r="F150" s="33">
        <v>500</v>
      </c>
      <c r="G150" s="29" t="s">
        <v>89</v>
      </c>
      <c r="H150" s="30" t="s">
        <v>391</v>
      </c>
      <c r="I150" s="29" t="s">
        <v>616</v>
      </c>
      <c r="J150" s="28" t="s">
        <v>182</v>
      </c>
    </row>
    <row r="151" spans="1:10">
      <c r="A151" s="59" t="s">
        <v>88</v>
      </c>
      <c r="B151" s="59" t="s">
        <v>390</v>
      </c>
      <c r="C151" s="59" t="s">
        <v>615</v>
      </c>
      <c r="D151" s="59" t="s">
        <v>181</v>
      </c>
      <c r="E151" s="33">
        <v>0.34</v>
      </c>
      <c r="F151" s="33">
        <v>1000</v>
      </c>
      <c r="G151" s="29" t="s">
        <v>89</v>
      </c>
      <c r="H151" s="30" t="s">
        <v>391</v>
      </c>
      <c r="I151" s="29" t="s">
        <v>616</v>
      </c>
      <c r="J151" s="28" t="s">
        <v>182</v>
      </c>
    </row>
    <row r="152" spans="1:10">
      <c r="A152" s="59" t="s">
        <v>88</v>
      </c>
      <c r="B152" s="59" t="s">
        <v>390</v>
      </c>
      <c r="C152" s="59" t="s">
        <v>615</v>
      </c>
      <c r="D152" s="59" t="s">
        <v>181</v>
      </c>
      <c r="E152" s="33">
        <v>0.3</v>
      </c>
      <c r="F152" s="33">
        <v>2000</v>
      </c>
      <c r="G152" s="29" t="s">
        <v>89</v>
      </c>
      <c r="H152" s="30" t="s">
        <v>391</v>
      </c>
      <c r="I152" s="29" t="s">
        <v>616</v>
      </c>
      <c r="J152" s="28" t="s">
        <v>182</v>
      </c>
    </row>
    <row r="153" spans="1:10">
      <c r="A153" s="59" t="s">
        <v>88</v>
      </c>
      <c r="B153" s="59" t="s">
        <v>390</v>
      </c>
      <c r="C153" s="59" t="s">
        <v>615</v>
      </c>
      <c r="D153" s="59" t="s">
        <v>181</v>
      </c>
      <c r="E153" s="33">
        <v>0.27</v>
      </c>
      <c r="F153" s="33">
        <v>5000</v>
      </c>
      <c r="G153" s="29" t="s">
        <v>89</v>
      </c>
      <c r="H153" s="30" t="s">
        <v>391</v>
      </c>
      <c r="I153" s="29" t="s">
        <v>616</v>
      </c>
      <c r="J153" s="28" t="s">
        <v>182</v>
      </c>
    </row>
    <row r="154" spans="1:10">
      <c r="A154" s="59" t="s">
        <v>88</v>
      </c>
      <c r="B154" s="59" t="s">
        <v>390</v>
      </c>
      <c r="C154" s="59" t="s">
        <v>615</v>
      </c>
      <c r="D154" s="59" t="s">
        <v>181</v>
      </c>
      <c r="E154" s="33">
        <v>0.24</v>
      </c>
      <c r="F154" s="33">
        <v>20000</v>
      </c>
      <c r="G154" s="29" t="s">
        <v>89</v>
      </c>
      <c r="H154" s="30" t="s">
        <v>391</v>
      </c>
      <c r="I154" s="29" t="s">
        <v>616</v>
      </c>
      <c r="J154" s="28" t="s">
        <v>182</v>
      </c>
    </row>
    <row r="155" spans="1:10">
      <c r="A155" s="59" t="s">
        <v>88</v>
      </c>
      <c r="B155" s="59" t="s">
        <v>390</v>
      </c>
      <c r="C155" s="59" t="s">
        <v>615</v>
      </c>
      <c r="D155" s="59" t="s">
        <v>181</v>
      </c>
      <c r="E155" s="33">
        <v>0.21</v>
      </c>
      <c r="F155" s="33">
        <v>50000</v>
      </c>
      <c r="G155" s="29" t="s">
        <v>89</v>
      </c>
      <c r="H155" s="30" t="s">
        <v>391</v>
      </c>
      <c r="I155" s="29" t="s">
        <v>616</v>
      </c>
      <c r="J155" s="28" t="s">
        <v>182</v>
      </c>
    </row>
    <row r="156" spans="1:10">
      <c r="A156" s="59" t="s">
        <v>88</v>
      </c>
      <c r="B156" s="59" t="s">
        <v>390</v>
      </c>
      <c r="C156" s="59" t="s">
        <v>615</v>
      </c>
      <c r="D156" s="59" t="s">
        <v>181</v>
      </c>
      <c r="E156" s="33">
        <v>0.21</v>
      </c>
      <c r="F156" s="33">
        <v>999999</v>
      </c>
      <c r="G156" s="29" t="s">
        <v>89</v>
      </c>
      <c r="H156" s="30" t="s">
        <v>391</v>
      </c>
      <c r="I156" s="29" t="s">
        <v>616</v>
      </c>
      <c r="J156" s="28" t="s">
        <v>182</v>
      </c>
    </row>
    <row r="157" spans="1:10">
      <c r="A157" s="59" t="s">
        <v>88</v>
      </c>
      <c r="B157" s="59" t="s">
        <v>390</v>
      </c>
      <c r="C157" s="59" t="s">
        <v>617</v>
      </c>
      <c r="D157" s="59" t="s">
        <v>181</v>
      </c>
      <c r="E157" s="33">
        <v>0.64</v>
      </c>
      <c r="F157" s="33">
        <v>500</v>
      </c>
      <c r="G157" s="29" t="s">
        <v>89</v>
      </c>
      <c r="H157" s="30" t="s">
        <v>391</v>
      </c>
      <c r="I157" s="29" t="s">
        <v>618</v>
      </c>
      <c r="J157" s="28" t="s">
        <v>182</v>
      </c>
    </row>
    <row r="158" spans="1:10">
      <c r="A158" s="59" t="s">
        <v>88</v>
      </c>
      <c r="B158" s="59" t="s">
        <v>390</v>
      </c>
      <c r="C158" s="59" t="s">
        <v>617</v>
      </c>
      <c r="D158" s="59" t="s">
        <v>181</v>
      </c>
      <c r="E158" s="33">
        <v>0.46</v>
      </c>
      <c r="F158" s="33">
        <v>1000</v>
      </c>
      <c r="G158" s="29" t="s">
        <v>89</v>
      </c>
      <c r="H158" s="30" t="s">
        <v>391</v>
      </c>
      <c r="I158" s="29" t="s">
        <v>618</v>
      </c>
      <c r="J158" s="28" t="s">
        <v>182</v>
      </c>
    </row>
    <row r="159" spans="1:10">
      <c r="A159" s="59" t="s">
        <v>88</v>
      </c>
      <c r="B159" s="59" t="s">
        <v>390</v>
      </c>
      <c r="C159" s="59" t="s">
        <v>617</v>
      </c>
      <c r="D159" s="59" t="s">
        <v>181</v>
      </c>
      <c r="E159" s="33">
        <v>0.37</v>
      </c>
      <c r="F159" s="33">
        <v>2000</v>
      </c>
      <c r="G159" s="29" t="s">
        <v>89</v>
      </c>
      <c r="H159" s="30" t="s">
        <v>391</v>
      </c>
      <c r="I159" s="29" t="s">
        <v>618</v>
      </c>
      <c r="J159" s="28" t="s">
        <v>182</v>
      </c>
    </row>
    <row r="160" spans="1:10">
      <c r="A160" s="59" t="s">
        <v>88</v>
      </c>
      <c r="B160" s="59" t="s">
        <v>390</v>
      </c>
      <c r="C160" s="59" t="s">
        <v>617</v>
      </c>
      <c r="D160" s="59" t="s">
        <v>181</v>
      </c>
      <c r="E160" s="33">
        <v>0.31</v>
      </c>
      <c r="F160" s="33">
        <v>5000</v>
      </c>
      <c r="G160" s="29" t="s">
        <v>89</v>
      </c>
      <c r="H160" s="30" t="s">
        <v>391</v>
      </c>
      <c r="I160" s="29" t="s">
        <v>618</v>
      </c>
      <c r="J160" s="28" t="s">
        <v>182</v>
      </c>
    </row>
    <row r="161" spans="1:10">
      <c r="A161" s="59" t="s">
        <v>88</v>
      </c>
      <c r="B161" s="59" t="s">
        <v>390</v>
      </c>
      <c r="C161" s="59" t="s">
        <v>617</v>
      </c>
      <c r="D161" s="59" t="s">
        <v>181</v>
      </c>
      <c r="E161" s="33">
        <v>0.25</v>
      </c>
      <c r="F161" s="33">
        <v>20000</v>
      </c>
      <c r="G161" s="29" t="s">
        <v>89</v>
      </c>
      <c r="H161" s="30" t="s">
        <v>391</v>
      </c>
      <c r="I161" s="29" t="s">
        <v>618</v>
      </c>
      <c r="J161" s="28" t="s">
        <v>182</v>
      </c>
    </row>
    <row r="162" spans="1:10">
      <c r="A162" s="59" t="s">
        <v>88</v>
      </c>
      <c r="B162" s="59" t="s">
        <v>390</v>
      </c>
      <c r="C162" s="59" t="s">
        <v>617</v>
      </c>
      <c r="D162" s="59" t="s">
        <v>181</v>
      </c>
      <c r="E162" s="33">
        <v>0.22</v>
      </c>
      <c r="F162" s="33">
        <v>50000</v>
      </c>
      <c r="G162" s="29" t="s">
        <v>89</v>
      </c>
      <c r="H162" s="30" t="s">
        <v>391</v>
      </c>
      <c r="I162" s="29" t="s">
        <v>618</v>
      </c>
      <c r="J162" s="28" t="s">
        <v>182</v>
      </c>
    </row>
    <row r="163" spans="1:10">
      <c r="A163" s="59" t="s">
        <v>88</v>
      </c>
      <c r="B163" s="59" t="s">
        <v>390</v>
      </c>
      <c r="C163" s="59" t="s">
        <v>617</v>
      </c>
      <c r="D163" s="59" t="s">
        <v>181</v>
      </c>
      <c r="E163" s="33">
        <v>0.22</v>
      </c>
      <c r="F163" s="33">
        <v>999999</v>
      </c>
      <c r="G163" s="29" t="s">
        <v>89</v>
      </c>
      <c r="H163" s="30" t="s">
        <v>391</v>
      </c>
      <c r="I163" s="29" t="s">
        <v>618</v>
      </c>
      <c r="J163" s="28" t="s">
        <v>182</v>
      </c>
    </row>
    <row r="164" spans="1:10">
      <c r="A164" s="59" t="s">
        <v>88</v>
      </c>
      <c r="B164" s="59" t="s">
        <v>390</v>
      </c>
      <c r="C164" s="59" t="s">
        <v>619</v>
      </c>
      <c r="D164" s="59" t="s">
        <v>181</v>
      </c>
      <c r="E164" s="33">
        <v>0.73</v>
      </c>
      <c r="F164" s="33">
        <v>500</v>
      </c>
      <c r="G164" s="29" t="s">
        <v>89</v>
      </c>
      <c r="H164" s="30" t="s">
        <v>391</v>
      </c>
      <c r="I164" s="29" t="s">
        <v>620</v>
      </c>
      <c r="J164" s="28" t="s">
        <v>182</v>
      </c>
    </row>
    <row r="165" spans="1:10">
      <c r="A165" s="59" t="s">
        <v>88</v>
      </c>
      <c r="B165" s="59" t="s">
        <v>390</v>
      </c>
      <c r="C165" s="59" t="s">
        <v>619</v>
      </c>
      <c r="D165" s="59" t="s">
        <v>181</v>
      </c>
      <c r="E165" s="33">
        <v>0.56000000000000005</v>
      </c>
      <c r="F165" s="33">
        <v>1000</v>
      </c>
      <c r="G165" s="29" t="s">
        <v>89</v>
      </c>
      <c r="H165" s="30" t="s">
        <v>391</v>
      </c>
      <c r="I165" s="29" t="s">
        <v>620</v>
      </c>
      <c r="J165" s="28" t="s">
        <v>182</v>
      </c>
    </row>
    <row r="166" spans="1:10">
      <c r="A166" s="59" t="s">
        <v>88</v>
      </c>
      <c r="B166" s="59" t="s">
        <v>390</v>
      </c>
      <c r="C166" s="59" t="s">
        <v>619</v>
      </c>
      <c r="D166" s="59" t="s">
        <v>181</v>
      </c>
      <c r="E166" s="33">
        <v>0.43</v>
      </c>
      <c r="F166" s="33">
        <v>2000</v>
      </c>
      <c r="G166" s="29" t="s">
        <v>89</v>
      </c>
      <c r="H166" s="30" t="s">
        <v>391</v>
      </c>
      <c r="I166" s="29" t="s">
        <v>620</v>
      </c>
      <c r="J166" s="28" t="s">
        <v>182</v>
      </c>
    </row>
    <row r="167" spans="1:10">
      <c r="A167" s="59" t="s">
        <v>88</v>
      </c>
      <c r="B167" s="59" t="s">
        <v>390</v>
      </c>
      <c r="C167" s="59" t="s">
        <v>619</v>
      </c>
      <c r="D167" s="59" t="s">
        <v>181</v>
      </c>
      <c r="E167" s="33">
        <v>0.34</v>
      </c>
      <c r="F167" s="33">
        <v>5000</v>
      </c>
      <c r="G167" s="29" t="s">
        <v>89</v>
      </c>
      <c r="H167" s="30" t="s">
        <v>391</v>
      </c>
      <c r="I167" s="29" t="s">
        <v>620</v>
      </c>
      <c r="J167" s="28" t="s">
        <v>182</v>
      </c>
    </row>
    <row r="168" spans="1:10">
      <c r="A168" s="59" t="s">
        <v>88</v>
      </c>
      <c r="B168" s="59" t="s">
        <v>390</v>
      </c>
      <c r="C168" s="59" t="s">
        <v>619</v>
      </c>
      <c r="D168" s="59" t="s">
        <v>181</v>
      </c>
      <c r="E168" s="33">
        <v>0.26</v>
      </c>
      <c r="F168" s="33">
        <v>20000</v>
      </c>
      <c r="G168" s="29" t="s">
        <v>89</v>
      </c>
      <c r="H168" s="30" t="s">
        <v>391</v>
      </c>
      <c r="I168" s="29" t="s">
        <v>620</v>
      </c>
      <c r="J168" s="28" t="s">
        <v>182</v>
      </c>
    </row>
    <row r="169" spans="1:10">
      <c r="A169" s="59" t="s">
        <v>88</v>
      </c>
      <c r="B169" s="59" t="s">
        <v>390</v>
      </c>
      <c r="C169" s="59" t="s">
        <v>619</v>
      </c>
      <c r="D169" s="59" t="s">
        <v>181</v>
      </c>
      <c r="E169" s="33">
        <v>0.23</v>
      </c>
      <c r="F169" s="33">
        <v>50000</v>
      </c>
      <c r="G169" s="29" t="s">
        <v>89</v>
      </c>
      <c r="H169" s="30" t="s">
        <v>391</v>
      </c>
      <c r="I169" s="29" t="s">
        <v>620</v>
      </c>
      <c r="J169" s="28" t="s">
        <v>182</v>
      </c>
    </row>
    <row r="170" spans="1:10">
      <c r="A170" s="59" t="s">
        <v>88</v>
      </c>
      <c r="B170" s="59" t="s">
        <v>390</v>
      </c>
      <c r="C170" s="59" t="s">
        <v>619</v>
      </c>
      <c r="D170" s="59" t="s">
        <v>181</v>
      </c>
      <c r="E170" s="33">
        <v>0.22</v>
      </c>
      <c r="F170" s="33">
        <v>999999</v>
      </c>
      <c r="G170" s="29" t="s">
        <v>89</v>
      </c>
      <c r="H170" s="30" t="s">
        <v>391</v>
      </c>
      <c r="I170" s="29" t="s">
        <v>620</v>
      </c>
      <c r="J170" s="28" t="s">
        <v>182</v>
      </c>
    </row>
    <row r="171" spans="1:10">
      <c r="A171" s="59" t="s">
        <v>88</v>
      </c>
      <c r="B171" s="59" t="s">
        <v>390</v>
      </c>
      <c r="C171" s="59" t="s">
        <v>621</v>
      </c>
      <c r="D171" s="59" t="s">
        <v>181</v>
      </c>
      <c r="E171" s="33">
        <v>0.73</v>
      </c>
      <c r="F171" s="33">
        <v>500</v>
      </c>
      <c r="G171" s="29" t="s">
        <v>89</v>
      </c>
      <c r="H171" s="30" t="s">
        <v>391</v>
      </c>
      <c r="I171" s="29" t="s">
        <v>622</v>
      </c>
      <c r="J171" s="28" t="s">
        <v>182</v>
      </c>
    </row>
    <row r="172" spans="1:10">
      <c r="A172" s="59" t="s">
        <v>88</v>
      </c>
      <c r="B172" s="59" t="s">
        <v>390</v>
      </c>
      <c r="C172" s="59" t="s">
        <v>621</v>
      </c>
      <c r="D172" s="59" t="s">
        <v>181</v>
      </c>
      <c r="E172" s="33">
        <v>0.63</v>
      </c>
      <c r="F172" s="33">
        <v>1000</v>
      </c>
      <c r="G172" s="29" t="s">
        <v>89</v>
      </c>
      <c r="H172" s="30" t="s">
        <v>391</v>
      </c>
      <c r="I172" s="29" t="s">
        <v>622</v>
      </c>
      <c r="J172" s="28" t="s">
        <v>182</v>
      </c>
    </row>
    <row r="173" spans="1:10">
      <c r="A173" s="59" t="s">
        <v>88</v>
      </c>
      <c r="B173" s="59" t="s">
        <v>390</v>
      </c>
      <c r="C173" s="59" t="s">
        <v>621</v>
      </c>
      <c r="D173" s="59" t="s">
        <v>181</v>
      </c>
      <c r="E173" s="33">
        <v>0.45</v>
      </c>
      <c r="F173" s="33">
        <v>2000</v>
      </c>
      <c r="G173" s="29" t="s">
        <v>89</v>
      </c>
      <c r="H173" s="30" t="s">
        <v>391</v>
      </c>
      <c r="I173" s="29" t="s">
        <v>622</v>
      </c>
      <c r="J173" s="28" t="s">
        <v>182</v>
      </c>
    </row>
    <row r="174" spans="1:10">
      <c r="A174" s="59" t="s">
        <v>88</v>
      </c>
      <c r="B174" s="59" t="s">
        <v>390</v>
      </c>
      <c r="C174" s="59" t="s">
        <v>621</v>
      </c>
      <c r="D174" s="59" t="s">
        <v>181</v>
      </c>
      <c r="E174" s="33">
        <v>0.37</v>
      </c>
      <c r="F174" s="33">
        <v>5000</v>
      </c>
      <c r="G174" s="29" t="s">
        <v>89</v>
      </c>
      <c r="H174" s="30" t="s">
        <v>391</v>
      </c>
      <c r="I174" s="29" t="s">
        <v>622</v>
      </c>
      <c r="J174" s="28" t="s">
        <v>182</v>
      </c>
    </row>
    <row r="175" spans="1:10">
      <c r="A175" s="59" t="s">
        <v>88</v>
      </c>
      <c r="B175" s="59" t="s">
        <v>390</v>
      </c>
      <c r="C175" s="59" t="s">
        <v>621</v>
      </c>
      <c r="D175" s="59" t="s">
        <v>181</v>
      </c>
      <c r="E175" s="33">
        <v>0.27</v>
      </c>
      <c r="F175" s="33">
        <v>20000</v>
      </c>
      <c r="G175" s="29" t="s">
        <v>89</v>
      </c>
      <c r="H175" s="30" t="s">
        <v>391</v>
      </c>
      <c r="I175" s="29" t="s">
        <v>622</v>
      </c>
      <c r="J175" s="28" t="s">
        <v>182</v>
      </c>
    </row>
    <row r="176" spans="1:10">
      <c r="A176" s="59" t="s">
        <v>88</v>
      </c>
      <c r="B176" s="59" t="s">
        <v>390</v>
      </c>
      <c r="C176" s="59" t="s">
        <v>621</v>
      </c>
      <c r="D176" s="59" t="s">
        <v>181</v>
      </c>
      <c r="E176" s="33">
        <v>0.23</v>
      </c>
      <c r="F176" s="33">
        <v>50000</v>
      </c>
      <c r="G176" s="29" t="s">
        <v>89</v>
      </c>
      <c r="H176" s="30" t="s">
        <v>391</v>
      </c>
      <c r="I176" s="29" t="s">
        <v>622</v>
      </c>
      <c r="J176" s="28" t="s">
        <v>182</v>
      </c>
    </row>
    <row r="177" spans="1:10">
      <c r="A177" s="59" t="s">
        <v>88</v>
      </c>
      <c r="B177" s="59" t="s">
        <v>390</v>
      </c>
      <c r="C177" s="59" t="s">
        <v>621</v>
      </c>
      <c r="D177" s="59" t="s">
        <v>181</v>
      </c>
      <c r="E177" s="33">
        <v>0.23</v>
      </c>
      <c r="F177" s="33">
        <v>999999</v>
      </c>
      <c r="G177" s="29" t="s">
        <v>89</v>
      </c>
      <c r="H177" s="30" t="s">
        <v>391</v>
      </c>
      <c r="I177" s="29" t="s">
        <v>622</v>
      </c>
      <c r="J177" s="28" t="s">
        <v>182</v>
      </c>
    </row>
    <row r="178" spans="1:10">
      <c r="A178" s="59" t="s">
        <v>88</v>
      </c>
      <c r="B178" s="59" t="s">
        <v>342</v>
      </c>
      <c r="C178" s="59" t="s">
        <v>623</v>
      </c>
      <c r="D178" s="59" t="s">
        <v>181</v>
      </c>
      <c r="E178" s="33">
        <v>0.25</v>
      </c>
      <c r="F178" s="33">
        <v>500</v>
      </c>
      <c r="G178" s="29" t="s">
        <v>89</v>
      </c>
      <c r="H178" s="30" t="s">
        <v>343</v>
      </c>
      <c r="I178" s="29" t="s">
        <v>624</v>
      </c>
      <c r="J178" s="28" t="s">
        <v>182</v>
      </c>
    </row>
    <row r="179" spans="1:10">
      <c r="A179" s="59" t="s">
        <v>88</v>
      </c>
      <c r="B179" s="59" t="s">
        <v>342</v>
      </c>
      <c r="C179" s="59" t="s">
        <v>623</v>
      </c>
      <c r="D179" s="59" t="s">
        <v>181</v>
      </c>
      <c r="E179" s="33">
        <v>0.19</v>
      </c>
      <c r="F179" s="33">
        <v>1000</v>
      </c>
      <c r="G179" s="29" t="s">
        <v>89</v>
      </c>
      <c r="H179" s="30" t="s">
        <v>343</v>
      </c>
      <c r="I179" s="29" t="s">
        <v>624</v>
      </c>
      <c r="J179" s="28" t="s">
        <v>182</v>
      </c>
    </row>
    <row r="180" spans="1:10">
      <c r="A180" s="59" t="s">
        <v>88</v>
      </c>
      <c r="B180" s="59" t="s">
        <v>342</v>
      </c>
      <c r="C180" s="59" t="s">
        <v>623</v>
      </c>
      <c r="D180" s="59" t="s">
        <v>181</v>
      </c>
      <c r="E180" s="33">
        <v>0.17</v>
      </c>
      <c r="F180" s="33">
        <v>2000</v>
      </c>
      <c r="G180" s="29" t="s">
        <v>89</v>
      </c>
      <c r="H180" s="30" t="s">
        <v>343</v>
      </c>
      <c r="I180" s="29" t="s">
        <v>624</v>
      </c>
      <c r="J180" s="28" t="s">
        <v>182</v>
      </c>
    </row>
    <row r="181" spans="1:10">
      <c r="A181" s="59" t="s">
        <v>88</v>
      </c>
      <c r="B181" s="59" t="s">
        <v>342</v>
      </c>
      <c r="C181" s="59" t="s">
        <v>623</v>
      </c>
      <c r="D181" s="59" t="s">
        <v>181</v>
      </c>
      <c r="E181" s="33">
        <v>0.15</v>
      </c>
      <c r="F181" s="33">
        <v>5000</v>
      </c>
      <c r="G181" s="29" t="s">
        <v>89</v>
      </c>
      <c r="H181" s="30" t="s">
        <v>343</v>
      </c>
      <c r="I181" s="29" t="s">
        <v>624</v>
      </c>
      <c r="J181" s="28" t="s">
        <v>182</v>
      </c>
    </row>
    <row r="182" spans="1:10">
      <c r="A182" s="59" t="s">
        <v>88</v>
      </c>
      <c r="B182" s="59" t="s">
        <v>342</v>
      </c>
      <c r="C182" s="59" t="s">
        <v>623</v>
      </c>
      <c r="D182" s="59" t="s">
        <v>181</v>
      </c>
      <c r="E182" s="33">
        <v>0.12</v>
      </c>
      <c r="F182" s="33">
        <v>20000</v>
      </c>
      <c r="G182" s="29" t="s">
        <v>89</v>
      </c>
      <c r="H182" s="30" t="s">
        <v>343</v>
      </c>
      <c r="I182" s="29" t="s">
        <v>624</v>
      </c>
      <c r="J182" s="28" t="s">
        <v>182</v>
      </c>
    </row>
    <row r="183" spans="1:10">
      <c r="A183" s="59" t="s">
        <v>88</v>
      </c>
      <c r="B183" s="59" t="s">
        <v>342</v>
      </c>
      <c r="C183" s="59" t="s">
        <v>623</v>
      </c>
      <c r="D183" s="59" t="s">
        <v>181</v>
      </c>
      <c r="E183" s="33">
        <v>0.12</v>
      </c>
      <c r="F183" s="33">
        <v>50000</v>
      </c>
      <c r="G183" s="29" t="s">
        <v>89</v>
      </c>
      <c r="H183" s="30" t="s">
        <v>343</v>
      </c>
      <c r="I183" s="29" t="s">
        <v>624</v>
      </c>
      <c r="J183" s="28" t="s">
        <v>182</v>
      </c>
    </row>
    <row r="184" spans="1:10">
      <c r="A184" s="59" t="s">
        <v>88</v>
      </c>
      <c r="B184" s="59" t="s">
        <v>342</v>
      </c>
      <c r="C184" s="59" t="s">
        <v>623</v>
      </c>
      <c r="D184" s="59" t="s">
        <v>181</v>
      </c>
      <c r="E184" s="33">
        <v>0.12</v>
      </c>
      <c r="F184" s="33">
        <v>999999</v>
      </c>
      <c r="G184" s="29" t="s">
        <v>89</v>
      </c>
      <c r="H184" s="30" t="s">
        <v>343</v>
      </c>
      <c r="I184" s="29" t="s">
        <v>624</v>
      </c>
      <c r="J184" s="28" t="s">
        <v>182</v>
      </c>
    </row>
    <row r="185" spans="1:10">
      <c r="A185" s="59" t="s">
        <v>88</v>
      </c>
      <c r="B185" s="59" t="s">
        <v>342</v>
      </c>
      <c r="C185" s="59" t="s">
        <v>625</v>
      </c>
      <c r="D185" s="59" t="s">
        <v>181</v>
      </c>
      <c r="E185" s="33">
        <v>0.34</v>
      </c>
      <c r="F185" s="33">
        <v>500</v>
      </c>
      <c r="G185" s="29" t="s">
        <v>89</v>
      </c>
      <c r="H185" s="30" t="s">
        <v>343</v>
      </c>
      <c r="I185" s="29" t="s">
        <v>626</v>
      </c>
      <c r="J185" s="28" t="s">
        <v>182</v>
      </c>
    </row>
    <row r="186" spans="1:10">
      <c r="A186" s="59" t="s">
        <v>88</v>
      </c>
      <c r="B186" s="59" t="s">
        <v>342</v>
      </c>
      <c r="C186" s="59" t="s">
        <v>625</v>
      </c>
      <c r="D186" s="59" t="s">
        <v>181</v>
      </c>
      <c r="E186" s="33">
        <v>0.25</v>
      </c>
      <c r="F186" s="33">
        <v>1000</v>
      </c>
      <c r="G186" s="29" t="s">
        <v>89</v>
      </c>
      <c r="H186" s="30" t="s">
        <v>343</v>
      </c>
      <c r="I186" s="29" t="s">
        <v>626</v>
      </c>
      <c r="J186" s="28" t="s">
        <v>182</v>
      </c>
    </row>
    <row r="187" spans="1:10">
      <c r="A187" s="59" t="s">
        <v>88</v>
      </c>
      <c r="B187" s="59" t="s">
        <v>342</v>
      </c>
      <c r="C187" s="59" t="s">
        <v>625</v>
      </c>
      <c r="D187" s="59" t="s">
        <v>181</v>
      </c>
      <c r="E187" s="33">
        <v>0.19</v>
      </c>
      <c r="F187" s="33">
        <v>2000</v>
      </c>
      <c r="G187" s="29" t="s">
        <v>89</v>
      </c>
      <c r="H187" s="30" t="s">
        <v>343</v>
      </c>
      <c r="I187" s="29" t="s">
        <v>626</v>
      </c>
      <c r="J187" s="28" t="s">
        <v>182</v>
      </c>
    </row>
    <row r="188" spans="1:10">
      <c r="A188" s="59" t="s">
        <v>88</v>
      </c>
      <c r="B188" s="59" t="s">
        <v>342</v>
      </c>
      <c r="C188" s="59" t="s">
        <v>625</v>
      </c>
      <c r="D188" s="59" t="s">
        <v>181</v>
      </c>
      <c r="E188" s="33">
        <v>0.16</v>
      </c>
      <c r="F188" s="33">
        <v>5000</v>
      </c>
      <c r="G188" s="29" t="s">
        <v>89</v>
      </c>
      <c r="H188" s="30" t="s">
        <v>343</v>
      </c>
      <c r="I188" s="29" t="s">
        <v>626</v>
      </c>
      <c r="J188" s="28" t="s">
        <v>182</v>
      </c>
    </row>
    <row r="189" spans="1:10">
      <c r="A189" s="59" t="s">
        <v>88</v>
      </c>
      <c r="B189" s="59" t="s">
        <v>342</v>
      </c>
      <c r="C189" s="59" t="s">
        <v>625</v>
      </c>
      <c r="D189" s="59" t="s">
        <v>181</v>
      </c>
      <c r="E189" s="33">
        <v>0.13</v>
      </c>
      <c r="F189" s="33">
        <v>20000</v>
      </c>
      <c r="G189" s="29" t="s">
        <v>89</v>
      </c>
      <c r="H189" s="30" t="s">
        <v>343</v>
      </c>
      <c r="I189" s="29" t="s">
        <v>626</v>
      </c>
      <c r="J189" s="28" t="s">
        <v>182</v>
      </c>
    </row>
    <row r="190" spans="1:10">
      <c r="A190" s="59" t="s">
        <v>88</v>
      </c>
      <c r="B190" s="59" t="s">
        <v>342</v>
      </c>
      <c r="C190" s="59" t="s">
        <v>625</v>
      </c>
      <c r="D190" s="59" t="s">
        <v>181</v>
      </c>
      <c r="E190" s="33">
        <v>0.13</v>
      </c>
      <c r="F190" s="33">
        <v>50000</v>
      </c>
      <c r="G190" s="29" t="s">
        <v>89</v>
      </c>
      <c r="H190" s="30" t="s">
        <v>343</v>
      </c>
      <c r="I190" s="29" t="s">
        <v>626</v>
      </c>
      <c r="J190" s="28" t="s">
        <v>182</v>
      </c>
    </row>
    <row r="191" spans="1:10">
      <c r="A191" s="59" t="s">
        <v>88</v>
      </c>
      <c r="B191" s="59" t="s">
        <v>342</v>
      </c>
      <c r="C191" s="59" t="s">
        <v>625</v>
      </c>
      <c r="D191" s="59" t="s">
        <v>181</v>
      </c>
      <c r="E191" s="33">
        <v>0.12</v>
      </c>
      <c r="F191" s="33">
        <v>999999</v>
      </c>
      <c r="G191" s="29" t="s">
        <v>89</v>
      </c>
      <c r="H191" s="30" t="s">
        <v>343</v>
      </c>
      <c r="I191" s="29" t="s">
        <v>626</v>
      </c>
      <c r="J191" s="28" t="s">
        <v>182</v>
      </c>
    </row>
    <row r="192" spans="1:10">
      <c r="A192" s="59" t="s">
        <v>88</v>
      </c>
      <c r="B192" s="59" t="s">
        <v>342</v>
      </c>
      <c r="C192" s="59" t="s">
        <v>627</v>
      </c>
      <c r="D192" s="59" t="s">
        <v>181</v>
      </c>
      <c r="E192" s="33">
        <v>0.42</v>
      </c>
      <c r="F192" s="33">
        <v>500</v>
      </c>
      <c r="G192" s="29" t="s">
        <v>89</v>
      </c>
      <c r="H192" s="30" t="s">
        <v>343</v>
      </c>
      <c r="I192" s="29" t="s">
        <v>628</v>
      </c>
      <c r="J192" s="28" t="s">
        <v>182</v>
      </c>
    </row>
    <row r="193" spans="1:10">
      <c r="A193" s="59" t="s">
        <v>88</v>
      </c>
      <c r="B193" s="59" t="s">
        <v>342</v>
      </c>
      <c r="C193" s="59" t="s">
        <v>627</v>
      </c>
      <c r="D193" s="59" t="s">
        <v>181</v>
      </c>
      <c r="E193" s="33">
        <v>0.28999999999999998</v>
      </c>
      <c r="F193" s="33">
        <v>1000</v>
      </c>
      <c r="G193" s="29" t="s">
        <v>89</v>
      </c>
      <c r="H193" s="30" t="s">
        <v>343</v>
      </c>
      <c r="I193" s="29" t="s">
        <v>628</v>
      </c>
      <c r="J193" s="28" t="s">
        <v>182</v>
      </c>
    </row>
    <row r="194" spans="1:10">
      <c r="A194" s="59" t="s">
        <v>88</v>
      </c>
      <c r="B194" s="59" t="s">
        <v>342</v>
      </c>
      <c r="C194" s="59" t="s">
        <v>627</v>
      </c>
      <c r="D194" s="59" t="s">
        <v>181</v>
      </c>
      <c r="E194" s="33">
        <v>0.22</v>
      </c>
      <c r="F194" s="33">
        <v>2000</v>
      </c>
      <c r="G194" s="29" t="s">
        <v>89</v>
      </c>
      <c r="H194" s="30" t="s">
        <v>343</v>
      </c>
      <c r="I194" s="29" t="s">
        <v>628</v>
      </c>
      <c r="J194" s="28" t="s">
        <v>182</v>
      </c>
    </row>
    <row r="195" spans="1:10">
      <c r="A195" s="59" t="s">
        <v>88</v>
      </c>
      <c r="B195" s="59" t="s">
        <v>342</v>
      </c>
      <c r="C195" s="59" t="s">
        <v>627</v>
      </c>
      <c r="D195" s="59" t="s">
        <v>181</v>
      </c>
      <c r="E195" s="33">
        <v>0.18</v>
      </c>
      <c r="F195" s="33">
        <v>5000</v>
      </c>
      <c r="G195" s="29" t="s">
        <v>89</v>
      </c>
      <c r="H195" s="30" t="s">
        <v>343</v>
      </c>
      <c r="I195" s="29" t="s">
        <v>628</v>
      </c>
      <c r="J195" s="28" t="s">
        <v>182</v>
      </c>
    </row>
    <row r="196" spans="1:10">
      <c r="A196" s="59" t="s">
        <v>88</v>
      </c>
      <c r="B196" s="59" t="s">
        <v>342</v>
      </c>
      <c r="C196" s="59" t="s">
        <v>627</v>
      </c>
      <c r="D196" s="59" t="s">
        <v>181</v>
      </c>
      <c r="E196" s="33">
        <v>0.13</v>
      </c>
      <c r="F196" s="33">
        <v>20000</v>
      </c>
      <c r="G196" s="29" t="s">
        <v>89</v>
      </c>
      <c r="H196" s="30" t="s">
        <v>343</v>
      </c>
      <c r="I196" s="29" t="s">
        <v>628</v>
      </c>
      <c r="J196" s="28" t="s">
        <v>182</v>
      </c>
    </row>
    <row r="197" spans="1:10">
      <c r="A197" s="59" t="s">
        <v>88</v>
      </c>
      <c r="B197" s="59" t="s">
        <v>342</v>
      </c>
      <c r="C197" s="59" t="s">
        <v>627</v>
      </c>
      <c r="D197" s="59" t="s">
        <v>181</v>
      </c>
      <c r="E197" s="33">
        <v>0.13</v>
      </c>
      <c r="F197" s="33">
        <v>50000</v>
      </c>
      <c r="G197" s="29" t="s">
        <v>89</v>
      </c>
      <c r="H197" s="30" t="s">
        <v>343</v>
      </c>
      <c r="I197" s="29" t="s">
        <v>628</v>
      </c>
      <c r="J197" s="28" t="s">
        <v>182</v>
      </c>
    </row>
    <row r="198" spans="1:10">
      <c r="A198" s="59" t="s">
        <v>88</v>
      </c>
      <c r="B198" s="59" t="s">
        <v>342</v>
      </c>
      <c r="C198" s="59" t="s">
        <v>627</v>
      </c>
      <c r="D198" s="59" t="s">
        <v>181</v>
      </c>
      <c r="E198" s="33">
        <v>0.13</v>
      </c>
      <c r="F198" s="33">
        <v>999999</v>
      </c>
      <c r="G198" s="29" t="s">
        <v>89</v>
      </c>
      <c r="H198" s="30" t="s">
        <v>343</v>
      </c>
      <c r="I198" s="29" t="s">
        <v>628</v>
      </c>
      <c r="J198" s="28" t="s">
        <v>182</v>
      </c>
    </row>
    <row r="199" spans="1:10">
      <c r="A199" s="59" t="s">
        <v>88</v>
      </c>
      <c r="B199" s="59" t="s">
        <v>342</v>
      </c>
      <c r="C199" s="59" t="s">
        <v>629</v>
      </c>
      <c r="D199" s="59" t="s">
        <v>181</v>
      </c>
      <c r="E199" s="33">
        <v>0.48</v>
      </c>
      <c r="F199" s="33">
        <v>500</v>
      </c>
      <c r="G199" s="29" t="s">
        <v>89</v>
      </c>
      <c r="H199" s="30" t="s">
        <v>343</v>
      </c>
      <c r="I199" s="29" t="s">
        <v>630</v>
      </c>
      <c r="J199" s="28" t="s">
        <v>182</v>
      </c>
    </row>
    <row r="200" spans="1:10">
      <c r="A200" s="59" t="s">
        <v>88</v>
      </c>
      <c r="B200" s="59" t="s">
        <v>342</v>
      </c>
      <c r="C200" s="59" t="s">
        <v>629</v>
      </c>
      <c r="D200" s="59" t="s">
        <v>181</v>
      </c>
      <c r="E200" s="33">
        <v>0.34</v>
      </c>
      <c r="F200" s="33">
        <v>1000</v>
      </c>
      <c r="G200" s="29" t="s">
        <v>89</v>
      </c>
      <c r="H200" s="30" t="s">
        <v>343</v>
      </c>
      <c r="I200" s="29" t="s">
        <v>630</v>
      </c>
      <c r="J200" s="28" t="s">
        <v>182</v>
      </c>
    </row>
    <row r="201" spans="1:10">
      <c r="A201" s="59" t="s">
        <v>88</v>
      </c>
      <c r="B201" s="59" t="s">
        <v>342</v>
      </c>
      <c r="C201" s="59" t="s">
        <v>629</v>
      </c>
      <c r="D201" s="59" t="s">
        <v>181</v>
      </c>
      <c r="E201" s="33">
        <v>0.25</v>
      </c>
      <c r="F201" s="33">
        <v>2000</v>
      </c>
      <c r="G201" s="29" t="s">
        <v>89</v>
      </c>
      <c r="H201" s="30" t="s">
        <v>343</v>
      </c>
      <c r="I201" s="29" t="s">
        <v>630</v>
      </c>
      <c r="J201" s="28" t="s">
        <v>182</v>
      </c>
    </row>
    <row r="202" spans="1:10">
      <c r="A202" s="59" t="s">
        <v>88</v>
      </c>
      <c r="B202" s="59" t="s">
        <v>342</v>
      </c>
      <c r="C202" s="59" t="s">
        <v>629</v>
      </c>
      <c r="D202" s="59" t="s">
        <v>181</v>
      </c>
      <c r="E202" s="33">
        <v>0.2</v>
      </c>
      <c r="F202" s="33">
        <v>5000</v>
      </c>
      <c r="G202" s="29" t="s">
        <v>89</v>
      </c>
      <c r="H202" s="30" t="s">
        <v>343</v>
      </c>
      <c r="I202" s="29" t="s">
        <v>630</v>
      </c>
      <c r="J202" s="28" t="s">
        <v>182</v>
      </c>
    </row>
    <row r="203" spans="1:10">
      <c r="A203" s="59" t="s">
        <v>88</v>
      </c>
      <c r="B203" s="59" t="s">
        <v>342</v>
      </c>
      <c r="C203" s="59" t="s">
        <v>629</v>
      </c>
      <c r="D203" s="59" t="s">
        <v>181</v>
      </c>
      <c r="E203" s="33">
        <v>0.14000000000000001</v>
      </c>
      <c r="F203" s="33">
        <v>20000</v>
      </c>
      <c r="G203" s="29" t="s">
        <v>89</v>
      </c>
      <c r="H203" s="30" t="s">
        <v>343</v>
      </c>
      <c r="I203" s="29" t="s">
        <v>630</v>
      </c>
      <c r="J203" s="28" t="s">
        <v>182</v>
      </c>
    </row>
    <row r="204" spans="1:10">
      <c r="A204" s="59" t="s">
        <v>88</v>
      </c>
      <c r="B204" s="59" t="s">
        <v>342</v>
      </c>
      <c r="C204" s="59" t="s">
        <v>629</v>
      </c>
      <c r="D204" s="59" t="s">
        <v>181</v>
      </c>
      <c r="E204" s="33">
        <v>0.13</v>
      </c>
      <c r="F204" s="33">
        <v>50000</v>
      </c>
      <c r="G204" s="29" t="s">
        <v>89</v>
      </c>
      <c r="H204" s="30" t="s">
        <v>343</v>
      </c>
      <c r="I204" s="29" t="s">
        <v>630</v>
      </c>
      <c r="J204" s="28" t="s">
        <v>182</v>
      </c>
    </row>
    <row r="205" spans="1:10">
      <c r="A205" s="59" t="s">
        <v>88</v>
      </c>
      <c r="B205" s="59" t="s">
        <v>342</v>
      </c>
      <c r="C205" s="59" t="s">
        <v>629</v>
      </c>
      <c r="D205" s="59" t="s">
        <v>181</v>
      </c>
      <c r="E205" s="33">
        <v>0.13</v>
      </c>
      <c r="F205" s="33">
        <v>999999</v>
      </c>
      <c r="G205" s="29" t="s">
        <v>89</v>
      </c>
      <c r="H205" s="30" t="s">
        <v>343</v>
      </c>
      <c r="I205" s="29" t="s">
        <v>630</v>
      </c>
      <c r="J205" s="28" t="s">
        <v>182</v>
      </c>
    </row>
    <row r="206" spans="1:10">
      <c r="A206" s="59" t="s">
        <v>88</v>
      </c>
      <c r="B206" s="59" t="s">
        <v>342</v>
      </c>
      <c r="C206" s="59" t="s">
        <v>631</v>
      </c>
      <c r="D206" s="59" t="s">
        <v>181</v>
      </c>
      <c r="E206" s="33">
        <v>0.27</v>
      </c>
      <c r="F206" s="33">
        <v>500</v>
      </c>
      <c r="G206" s="29" t="s">
        <v>89</v>
      </c>
      <c r="H206" s="30" t="s">
        <v>343</v>
      </c>
      <c r="I206" s="29" t="s">
        <v>632</v>
      </c>
      <c r="J206" s="28" t="s">
        <v>182</v>
      </c>
    </row>
    <row r="207" spans="1:10">
      <c r="A207" s="59" t="s">
        <v>88</v>
      </c>
      <c r="B207" s="59" t="s">
        <v>342</v>
      </c>
      <c r="C207" s="59" t="s">
        <v>631</v>
      </c>
      <c r="D207" s="59" t="s">
        <v>181</v>
      </c>
      <c r="E207" s="33">
        <v>0.2</v>
      </c>
      <c r="F207" s="33">
        <v>1000</v>
      </c>
      <c r="G207" s="29" t="s">
        <v>89</v>
      </c>
      <c r="H207" s="30" t="s">
        <v>343</v>
      </c>
      <c r="I207" s="29" t="s">
        <v>632</v>
      </c>
      <c r="J207" s="28" t="s">
        <v>182</v>
      </c>
    </row>
    <row r="208" spans="1:10">
      <c r="A208" s="59" t="s">
        <v>88</v>
      </c>
      <c r="B208" s="59" t="s">
        <v>342</v>
      </c>
      <c r="C208" s="59" t="s">
        <v>631</v>
      </c>
      <c r="D208" s="59" t="s">
        <v>181</v>
      </c>
      <c r="E208" s="33">
        <v>0.17</v>
      </c>
      <c r="F208" s="33">
        <v>2000</v>
      </c>
      <c r="G208" s="29" t="s">
        <v>89</v>
      </c>
      <c r="H208" s="30" t="s">
        <v>343</v>
      </c>
      <c r="I208" s="29" t="s">
        <v>632</v>
      </c>
      <c r="J208" s="28" t="s">
        <v>182</v>
      </c>
    </row>
    <row r="209" spans="1:10">
      <c r="A209" s="59" t="s">
        <v>88</v>
      </c>
      <c r="B209" s="59" t="s">
        <v>342</v>
      </c>
      <c r="C209" s="59" t="s">
        <v>631</v>
      </c>
      <c r="D209" s="59" t="s">
        <v>181</v>
      </c>
      <c r="E209" s="33">
        <v>0.14000000000000001</v>
      </c>
      <c r="F209" s="33">
        <v>5000</v>
      </c>
      <c r="G209" s="29" t="s">
        <v>89</v>
      </c>
      <c r="H209" s="30" t="s">
        <v>343</v>
      </c>
      <c r="I209" s="29" t="s">
        <v>632</v>
      </c>
      <c r="J209" s="28" t="s">
        <v>182</v>
      </c>
    </row>
    <row r="210" spans="1:10">
      <c r="A210" s="59" t="s">
        <v>88</v>
      </c>
      <c r="B210" s="59" t="s">
        <v>342</v>
      </c>
      <c r="C210" s="59" t="s">
        <v>631</v>
      </c>
      <c r="D210" s="59" t="s">
        <v>181</v>
      </c>
      <c r="E210" s="33">
        <v>0.12</v>
      </c>
      <c r="F210" s="33">
        <v>20000</v>
      </c>
      <c r="G210" s="29" t="s">
        <v>89</v>
      </c>
      <c r="H210" s="30" t="s">
        <v>343</v>
      </c>
      <c r="I210" s="29" t="s">
        <v>632</v>
      </c>
      <c r="J210" s="28" t="s">
        <v>182</v>
      </c>
    </row>
    <row r="211" spans="1:10">
      <c r="A211" s="59" t="s">
        <v>88</v>
      </c>
      <c r="B211" s="59" t="s">
        <v>342</v>
      </c>
      <c r="C211" s="59" t="s">
        <v>631</v>
      </c>
      <c r="D211" s="59" t="s">
        <v>181</v>
      </c>
      <c r="E211" s="33">
        <v>0.11</v>
      </c>
      <c r="F211" s="33">
        <v>50000</v>
      </c>
      <c r="G211" s="29" t="s">
        <v>89</v>
      </c>
      <c r="H211" s="30" t="s">
        <v>343</v>
      </c>
      <c r="I211" s="29" t="s">
        <v>632</v>
      </c>
      <c r="J211" s="28" t="s">
        <v>182</v>
      </c>
    </row>
    <row r="212" spans="1:10">
      <c r="A212" s="59" t="s">
        <v>88</v>
      </c>
      <c r="B212" s="59" t="s">
        <v>342</v>
      </c>
      <c r="C212" s="59" t="s">
        <v>631</v>
      </c>
      <c r="D212" s="59" t="s">
        <v>181</v>
      </c>
      <c r="E212" s="33">
        <v>0.11</v>
      </c>
      <c r="F212" s="33">
        <v>999999</v>
      </c>
      <c r="G212" s="30" t="s">
        <v>89</v>
      </c>
      <c r="H212" s="30" t="s">
        <v>343</v>
      </c>
      <c r="I212" s="29" t="s">
        <v>632</v>
      </c>
      <c r="J212" s="28" t="s">
        <v>182</v>
      </c>
    </row>
    <row r="213" spans="1:10">
      <c r="A213" s="59" t="s">
        <v>88</v>
      </c>
      <c r="B213" s="59" t="s">
        <v>342</v>
      </c>
      <c r="C213" s="59" t="s">
        <v>633</v>
      </c>
      <c r="D213" s="59" t="s">
        <v>181</v>
      </c>
      <c r="E213" s="33">
        <v>0.36</v>
      </c>
      <c r="F213" s="33">
        <v>500</v>
      </c>
      <c r="G213" s="30" t="s">
        <v>89</v>
      </c>
      <c r="H213" s="30" t="s">
        <v>343</v>
      </c>
      <c r="I213" s="29" t="s">
        <v>634</v>
      </c>
      <c r="J213" s="28" t="s">
        <v>182</v>
      </c>
    </row>
    <row r="214" spans="1:10">
      <c r="A214" s="59" t="s">
        <v>88</v>
      </c>
      <c r="B214" s="59" t="s">
        <v>342</v>
      </c>
      <c r="C214" s="59" t="s">
        <v>633</v>
      </c>
      <c r="D214" s="59" t="s">
        <v>181</v>
      </c>
      <c r="E214" s="33">
        <v>0.25</v>
      </c>
      <c r="F214" s="33">
        <v>1000</v>
      </c>
      <c r="G214" s="30" t="s">
        <v>89</v>
      </c>
      <c r="H214" s="30" t="s">
        <v>343</v>
      </c>
      <c r="I214" s="29" t="s">
        <v>634</v>
      </c>
      <c r="J214" s="28" t="s">
        <v>182</v>
      </c>
    </row>
    <row r="215" spans="1:10">
      <c r="A215" s="59" t="s">
        <v>88</v>
      </c>
      <c r="B215" s="59" t="s">
        <v>342</v>
      </c>
      <c r="C215" s="59" t="s">
        <v>633</v>
      </c>
      <c r="D215" s="59" t="s">
        <v>181</v>
      </c>
      <c r="E215" s="33">
        <v>0.2</v>
      </c>
      <c r="F215" s="33">
        <v>2000</v>
      </c>
      <c r="G215" s="30" t="s">
        <v>89</v>
      </c>
      <c r="H215" s="30" t="s">
        <v>343</v>
      </c>
      <c r="I215" s="29" t="s">
        <v>634</v>
      </c>
      <c r="J215" s="28" t="s">
        <v>182</v>
      </c>
    </row>
    <row r="216" spans="1:10">
      <c r="A216" s="59" t="s">
        <v>88</v>
      </c>
      <c r="B216" s="59" t="s">
        <v>342</v>
      </c>
      <c r="C216" s="59" t="s">
        <v>633</v>
      </c>
      <c r="D216" s="59" t="s">
        <v>181</v>
      </c>
      <c r="E216" s="33">
        <v>0.16</v>
      </c>
      <c r="F216" s="33">
        <v>5000</v>
      </c>
      <c r="G216" s="30" t="s">
        <v>89</v>
      </c>
      <c r="H216" s="30" t="s">
        <v>343</v>
      </c>
      <c r="I216" s="29" t="s">
        <v>634</v>
      </c>
      <c r="J216" s="28" t="s">
        <v>182</v>
      </c>
    </row>
    <row r="217" spans="1:10">
      <c r="A217" s="59" t="s">
        <v>88</v>
      </c>
      <c r="B217" s="59" t="s">
        <v>342</v>
      </c>
      <c r="C217" s="59" t="s">
        <v>633</v>
      </c>
      <c r="D217" s="59" t="s">
        <v>181</v>
      </c>
      <c r="E217" s="33">
        <v>0.12</v>
      </c>
      <c r="F217" s="33">
        <v>20000</v>
      </c>
      <c r="G217" s="30" t="s">
        <v>89</v>
      </c>
      <c r="H217" s="30" t="s">
        <v>343</v>
      </c>
      <c r="I217" s="29" t="s">
        <v>634</v>
      </c>
      <c r="J217" s="28" t="s">
        <v>182</v>
      </c>
    </row>
    <row r="218" spans="1:10">
      <c r="A218" s="59" t="s">
        <v>88</v>
      </c>
      <c r="B218" s="59" t="s">
        <v>342</v>
      </c>
      <c r="C218" s="59" t="s">
        <v>633</v>
      </c>
      <c r="D218" s="59" t="s">
        <v>181</v>
      </c>
      <c r="E218" s="33">
        <v>0.12</v>
      </c>
      <c r="F218" s="33">
        <v>50000</v>
      </c>
      <c r="G218" s="30" t="s">
        <v>89</v>
      </c>
      <c r="H218" s="30" t="s">
        <v>343</v>
      </c>
      <c r="I218" s="29" t="s">
        <v>634</v>
      </c>
      <c r="J218" s="28" t="s">
        <v>182</v>
      </c>
    </row>
    <row r="219" spans="1:10">
      <c r="A219" s="59" t="s">
        <v>88</v>
      </c>
      <c r="B219" s="59" t="s">
        <v>342</v>
      </c>
      <c r="C219" s="59" t="s">
        <v>633</v>
      </c>
      <c r="D219" s="59" t="s">
        <v>181</v>
      </c>
      <c r="E219" s="33">
        <v>0.12</v>
      </c>
      <c r="F219" s="33">
        <v>999999</v>
      </c>
      <c r="G219" s="30" t="s">
        <v>89</v>
      </c>
      <c r="H219" s="30" t="s">
        <v>343</v>
      </c>
      <c r="I219" s="29" t="s">
        <v>634</v>
      </c>
      <c r="J219" s="28" t="s">
        <v>182</v>
      </c>
    </row>
    <row r="220" spans="1:10">
      <c r="A220" s="59" t="s">
        <v>88</v>
      </c>
      <c r="B220" s="59" t="s">
        <v>342</v>
      </c>
      <c r="C220" s="59" t="s">
        <v>635</v>
      </c>
      <c r="D220" s="59" t="s">
        <v>181</v>
      </c>
      <c r="E220" s="33">
        <v>0.44</v>
      </c>
      <c r="F220" s="33">
        <v>500</v>
      </c>
      <c r="G220" s="30" t="s">
        <v>89</v>
      </c>
      <c r="H220" s="30" t="s">
        <v>343</v>
      </c>
      <c r="I220" s="29" t="s">
        <v>636</v>
      </c>
      <c r="J220" s="28" t="s">
        <v>182</v>
      </c>
    </row>
    <row r="221" spans="1:10">
      <c r="A221" s="59" t="s">
        <v>88</v>
      </c>
      <c r="B221" s="59" t="s">
        <v>342</v>
      </c>
      <c r="C221" s="59" t="s">
        <v>635</v>
      </c>
      <c r="D221" s="59" t="s">
        <v>181</v>
      </c>
      <c r="E221" s="33">
        <v>0.3</v>
      </c>
      <c r="F221" s="33">
        <v>1000</v>
      </c>
      <c r="G221" s="30" t="s">
        <v>89</v>
      </c>
      <c r="H221" s="30" t="s">
        <v>343</v>
      </c>
      <c r="I221" s="29" t="s">
        <v>636</v>
      </c>
      <c r="J221" s="28" t="s">
        <v>182</v>
      </c>
    </row>
    <row r="222" spans="1:10">
      <c r="A222" s="59" t="s">
        <v>88</v>
      </c>
      <c r="B222" s="59" t="s">
        <v>342</v>
      </c>
      <c r="C222" s="59" t="s">
        <v>635</v>
      </c>
      <c r="D222" s="59" t="s">
        <v>181</v>
      </c>
      <c r="E222" s="33">
        <v>0.22</v>
      </c>
      <c r="F222" s="33">
        <v>2000</v>
      </c>
      <c r="G222" s="30" t="s">
        <v>89</v>
      </c>
      <c r="H222" s="30" t="s">
        <v>343</v>
      </c>
      <c r="I222" s="29" t="s">
        <v>636</v>
      </c>
      <c r="J222" s="28" t="s">
        <v>182</v>
      </c>
    </row>
    <row r="223" spans="1:10">
      <c r="A223" s="59" t="s">
        <v>88</v>
      </c>
      <c r="B223" s="59" t="s">
        <v>342</v>
      </c>
      <c r="C223" s="59" t="s">
        <v>635</v>
      </c>
      <c r="D223" s="59" t="s">
        <v>181</v>
      </c>
      <c r="E223" s="33">
        <v>0.18</v>
      </c>
      <c r="F223" s="33">
        <v>5000</v>
      </c>
      <c r="G223" s="30" t="s">
        <v>89</v>
      </c>
      <c r="H223" s="30" t="s">
        <v>343</v>
      </c>
      <c r="I223" s="29" t="s">
        <v>636</v>
      </c>
      <c r="J223" s="28" t="s">
        <v>182</v>
      </c>
    </row>
    <row r="224" spans="1:10">
      <c r="A224" s="59" t="s">
        <v>88</v>
      </c>
      <c r="B224" s="59" t="s">
        <v>342</v>
      </c>
      <c r="C224" s="59" t="s">
        <v>635</v>
      </c>
      <c r="D224" s="59" t="s">
        <v>181</v>
      </c>
      <c r="E224" s="33">
        <v>0.13</v>
      </c>
      <c r="F224" s="33">
        <v>20000</v>
      </c>
      <c r="G224" s="29" t="s">
        <v>89</v>
      </c>
      <c r="H224" s="30" t="s">
        <v>343</v>
      </c>
      <c r="I224" s="29" t="s">
        <v>636</v>
      </c>
      <c r="J224" s="28" t="s">
        <v>182</v>
      </c>
    </row>
    <row r="225" spans="1:10">
      <c r="A225" s="59" t="s">
        <v>88</v>
      </c>
      <c r="B225" s="59" t="s">
        <v>342</v>
      </c>
      <c r="C225" s="59" t="s">
        <v>635</v>
      </c>
      <c r="D225" s="59" t="s">
        <v>181</v>
      </c>
      <c r="E225" s="33">
        <v>0.12</v>
      </c>
      <c r="F225" s="33">
        <v>50000</v>
      </c>
      <c r="G225" s="29" t="s">
        <v>89</v>
      </c>
      <c r="H225" s="30" t="s">
        <v>343</v>
      </c>
      <c r="I225" s="29" t="s">
        <v>636</v>
      </c>
      <c r="J225" s="28" t="s">
        <v>182</v>
      </c>
    </row>
    <row r="226" spans="1:10">
      <c r="A226" s="59" t="s">
        <v>88</v>
      </c>
      <c r="B226" s="59" t="s">
        <v>342</v>
      </c>
      <c r="C226" s="59" t="s">
        <v>635</v>
      </c>
      <c r="D226" s="59" t="s">
        <v>181</v>
      </c>
      <c r="E226" s="33">
        <v>0.12</v>
      </c>
      <c r="F226" s="33">
        <v>999999</v>
      </c>
      <c r="G226" s="29" t="s">
        <v>89</v>
      </c>
      <c r="H226" s="30" t="s">
        <v>343</v>
      </c>
      <c r="I226" s="29" t="s">
        <v>636</v>
      </c>
      <c r="J226" s="28" t="s">
        <v>182</v>
      </c>
    </row>
    <row r="227" spans="1:10">
      <c r="A227" s="59" t="s">
        <v>88</v>
      </c>
      <c r="B227" s="59" t="s">
        <v>342</v>
      </c>
      <c r="C227" s="59" t="s">
        <v>637</v>
      </c>
      <c r="D227" s="59" t="s">
        <v>181</v>
      </c>
      <c r="E227" s="33">
        <v>0.47</v>
      </c>
      <c r="F227" s="33">
        <v>500</v>
      </c>
      <c r="G227" s="29" t="s">
        <v>89</v>
      </c>
      <c r="H227" s="30" t="s">
        <v>343</v>
      </c>
      <c r="I227" s="29" t="s">
        <v>638</v>
      </c>
      <c r="J227" s="28" t="s">
        <v>182</v>
      </c>
    </row>
    <row r="228" spans="1:10">
      <c r="A228" s="59" t="s">
        <v>88</v>
      </c>
      <c r="B228" s="59" t="s">
        <v>342</v>
      </c>
      <c r="C228" s="59" t="s">
        <v>637</v>
      </c>
      <c r="D228" s="59" t="s">
        <v>181</v>
      </c>
      <c r="E228" s="33">
        <v>0.35</v>
      </c>
      <c r="F228" s="33">
        <v>1000</v>
      </c>
      <c r="G228" s="29" t="s">
        <v>89</v>
      </c>
      <c r="H228" s="30" t="s">
        <v>343</v>
      </c>
      <c r="I228" s="29" t="s">
        <v>638</v>
      </c>
      <c r="J228" s="28" t="s">
        <v>182</v>
      </c>
    </row>
    <row r="229" spans="1:10">
      <c r="A229" s="59" t="s">
        <v>88</v>
      </c>
      <c r="B229" s="59" t="s">
        <v>342</v>
      </c>
      <c r="C229" s="59" t="s">
        <v>637</v>
      </c>
      <c r="D229" s="59" t="s">
        <v>181</v>
      </c>
      <c r="E229" s="33">
        <v>0.25</v>
      </c>
      <c r="F229" s="33">
        <v>2000</v>
      </c>
      <c r="G229" s="29" t="s">
        <v>89</v>
      </c>
      <c r="H229" s="30" t="s">
        <v>343</v>
      </c>
      <c r="I229" s="29" t="s">
        <v>638</v>
      </c>
      <c r="J229" s="28" t="s">
        <v>182</v>
      </c>
    </row>
    <row r="230" spans="1:10">
      <c r="A230" s="59" t="s">
        <v>88</v>
      </c>
      <c r="B230" s="59" t="s">
        <v>342</v>
      </c>
      <c r="C230" s="59" t="s">
        <v>637</v>
      </c>
      <c r="D230" s="59" t="s">
        <v>181</v>
      </c>
      <c r="E230" s="33">
        <v>0.2</v>
      </c>
      <c r="F230" s="33">
        <v>5000</v>
      </c>
      <c r="G230" s="29" t="s">
        <v>89</v>
      </c>
      <c r="H230" s="30" t="s">
        <v>343</v>
      </c>
      <c r="I230" s="29" t="s">
        <v>638</v>
      </c>
      <c r="J230" s="28" t="s">
        <v>182</v>
      </c>
    </row>
    <row r="231" spans="1:10">
      <c r="A231" s="59" t="s">
        <v>88</v>
      </c>
      <c r="B231" s="59" t="s">
        <v>342</v>
      </c>
      <c r="C231" s="59" t="s">
        <v>637</v>
      </c>
      <c r="D231" s="59" t="s">
        <v>181</v>
      </c>
      <c r="E231" s="33">
        <v>0.13</v>
      </c>
      <c r="F231" s="33">
        <v>20000</v>
      </c>
      <c r="G231" s="29" t="s">
        <v>89</v>
      </c>
      <c r="H231" s="30" t="s">
        <v>343</v>
      </c>
      <c r="I231" s="29" t="s">
        <v>638</v>
      </c>
      <c r="J231" s="28" t="s">
        <v>182</v>
      </c>
    </row>
    <row r="232" spans="1:10">
      <c r="A232" s="59" t="s">
        <v>88</v>
      </c>
      <c r="B232" s="59" t="s">
        <v>342</v>
      </c>
      <c r="C232" s="59" t="s">
        <v>637</v>
      </c>
      <c r="D232" s="59" t="s">
        <v>181</v>
      </c>
      <c r="E232" s="33">
        <v>0.12</v>
      </c>
      <c r="F232" s="33">
        <v>50000</v>
      </c>
      <c r="G232" s="29" t="s">
        <v>89</v>
      </c>
      <c r="H232" s="30" t="s">
        <v>343</v>
      </c>
      <c r="I232" s="29" t="s">
        <v>638</v>
      </c>
      <c r="J232" s="28" t="s">
        <v>182</v>
      </c>
    </row>
    <row r="233" spans="1:10">
      <c r="A233" s="59" t="s">
        <v>88</v>
      </c>
      <c r="B233" s="59" t="s">
        <v>342</v>
      </c>
      <c r="C233" s="59" t="s">
        <v>637</v>
      </c>
      <c r="D233" s="59" t="s">
        <v>181</v>
      </c>
      <c r="E233" s="33">
        <v>0.12</v>
      </c>
      <c r="F233" s="33">
        <v>999999</v>
      </c>
      <c r="G233" s="29" t="s">
        <v>89</v>
      </c>
      <c r="H233" s="30" t="s">
        <v>343</v>
      </c>
      <c r="I233" s="29" t="s">
        <v>638</v>
      </c>
      <c r="J233" s="28" t="s">
        <v>182</v>
      </c>
    </row>
    <row r="234" spans="1:10">
      <c r="A234" s="59" t="s">
        <v>88</v>
      </c>
      <c r="B234" s="59" t="s">
        <v>390</v>
      </c>
      <c r="C234" s="59" t="s">
        <v>643</v>
      </c>
      <c r="D234" s="59" t="s">
        <v>181</v>
      </c>
      <c r="E234" s="33">
        <v>0.2</v>
      </c>
      <c r="F234" s="33">
        <v>999999</v>
      </c>
      <c r="G234" s="29" t="s">
        <v>89</v>
      </c>
      <c r="H234" s="30" t="s">
        <v>391</v>
      </c>
      <c r="I234" s="29" t="s">
        <v>644</v>
      </c>
      <c r="J234" s="28" t="s">
        <v>182</v>
      </c>
    </row>
    <row r="235" spans="1:10">
      <c r="A235" s="59" t="s">
        <v>88</v>
      </c>
      <c r="B235" s="59" t="s">
        <v>390</v>
      </c>
      <c r="C235" s="59" t="s">
        <v>645</v>
      </c>
      <c r="D235" s="59" t="s">
        <v>181</v>
      </c>
      <c r="E235" s="33">
        <v>0.12</v>
      </c>
      <c r="F235" s="33">
        <v>99999999.998999998</v>
      </c>
      <c r="G235" s="29" t="s">
        <v>89</v>
      </c>
      <c r="H235" s="30" t="s">
        <v>391</v>
      </c>
      <c r="I235" s="29" t="s">
        <v>646</v>
      </c>
      <c r="J235" s="28" t="s">
        <v>182</v>
      </c>
    </row>
    <row r="236" spans="1:10">
      <c r="A236" s="59" t="s">
        <v>84</v>
      </c>
      <c r="B236" s="59" t="s">
        <v>352</v>
      </c>
      <c r="C236" s="59" t="s">
        <v>683</v>
      </c>
      <c r="D236" s="59" t="s">
        <v>181</v>
      </c>
      <c r="E236" s="33">
        <v>0.38</v>
      </c>
      <c r="F236" s="33">
        <v>250</v>
      </c>
      <c r="G236" s="30" t="s">
        <v>85</v>
      </c>
      <c r="H236" s="30" t="s">
        <v>353</v>
      </c>
      <c r="I236" s="29" t="s">
        <v>684</v>
      </c>
      <c r="J236" s="28" t="s">
        <v>182</v>
      </c>
    </row>
    <row r="237" spans="1:10">
      <c r="A237" s="59" t="s">
        <v>84</v>
      </c>
      <c r="B237" s="59" t="s">
        <v>352</v>
      </c>
      <c r="C237" s="59" t="s">
        <v>683</v>
      </c>
      <c r="D237" s="59" t="s">
        <v>181</v>
      </c>
      <c r="E237" s="33">
        <v>0.23</v>
      </c>
      <c r="F237" s="33">
        <v>500</v>
      </c>
      <c r="G237" s="29" t="s">
        <v>85</v>
      </c>
      <c r="H237" s="30" t="s">
        <v>353</v>
      </c>
      <c r="I237" s="29" t="s">
        <v>684</v>
      </c>
      <c r="J237" s="28" t="s">
        <v>182</v>
      </c>
    </row>
    <row r="238" spans="1:10">
      <c r="A238" s="59" t="s">
        <v>116</v>
      </c>
      <c r="B238" s="59" t="s">
        <v>279</v>
      </c>
      <c r="C238" s="59" t="s">
        <v>473</v>
      </c>
      <c r="D238" s="59" t="s">
        <v>188</v>
      </c>
      <c r="E238" s="33">
        <v>2.5</v>
      </c>
      <c r="F238" s="33">
        <v>999999999</v>
      </c>
      <c r="G238" s="29" t="s">
        <v>117</v>
      </c>
      <c r="H238" s="30" t="s">
        <v>280</v>
      </c>
      <c r="I238" s="29" t="s">
        <v>474</v>
      </c>
      <c r="J238" s="28" t="s">
        <v>189</v>
      </c>
    </row>
    <row r="239" spans="1:10">
      <c r="A239" s="59" t="s">
        <v>116</v>
      </c>
      <c r="B239" s="59" t="s">
        <v>279</v>
      </c>
      <c r="C239" s="59" t="s">
        <v>485</v>
      </c>
      <c r="D239" s="59" t="s">
        <v>188</v>
      </c>
      <c r="E239" s="33">
        <v>1.667</v>
      </c>
      <c r="F239" s="33">
        <v>999999999</v>
      </c>
      <c r="G239" s="29" t="s">
        <v>117</v>
      </c>
      <c r="H239" s="30" t="s">
        <v>280</v>
      </c>
      <c r="I239" s="29" t="s">
        <v>486</v>
      </c>
      <c r="J239" s="28" t="s">
        <v>189</v>
      </c>
    </row>
    <row r="240" spans="1:10">
      <c r="A240" s="59" t="s">
        <v>116</v>
      </c>
      <c r="B240" s="59" t="s">
        <v>279</v>
      </c>
      <c r="C240" s="59" t="s">
        <v>861</v>
      </c>
      <c r="D240" s="59" t="s">
        <v>190</v>
      </c>
      <c r="E240" s="33">
        <v>300</v>
      </c>
      <c r="F240" s="33">
        <v>999999999</v>
      </c>
      <c r="G240" s="30" t="s">
        <v>117</v>
      </c>
      <c r="H240" s="30" t="s">
        <v>280</v>
      </c>
      <c r="I240" s="29" t="s">
        <v>862</v>
      </c>
      <c r="J240" s="28" t="s">
        <v>191</v>
      </c>
    </row>
    <row r="241" spans="1:10">
      <c r="A241" s="59" t="s">
        <v>116</v>
      </c>
      <c r="B241" s="59" t="s">
        <v>279</v>
      </c>
      <c r="C241" s="59" t="s">
        <v>863</v>
      </c>
      <c r="D241" s="59" t="s">
        <v>190</v>
      </c>
      <c r="E241" s="33">
        <v>80</v>
      </c>
      <c r="F241" s="33">
        <v>999999999</v>
      </c>
      <c r="G241" s="30" t="s">
        <v>117</v>
      </c>
      <c r="H241" s="30" t="s">
        <v>280</v>
      </c>
      <c r="I241" s="29" t="s">
        <v>864</v>
      </c>
      <c r="J241" s="28" t="s">
        <v>191</v>
      </c>
    </row>
    <row r="242" spans="1:10">
      <c r="A242" s="59" t="s">
        <v>111</v>
      </c>
      <c r="B242" s="59" t="s">
        <v>279</v>
      </c>
      <c r="C242" s="59" t="s">
        <v>473</v>
      </c>
      <c r="D242" s="59" t="s">
        <v>188</v>
      </c>
      <c r="E242" s="33">
        <v>2</v>
      </c>
      <c r="F242" s="33">
        <v>999999999.99899995</v>
      </c>
      <c r="G242" s="29" t="s">
        <v>112</v>
      </c>
      <c r="H242" s="30" t="s">
        <v>280</v>
      </c>
      <c r="I242" s="29" t="s">
        <v>474</v>
      </c>
      <c r="J242" s="28" t="s">
        <v>189</v>
      </c>
    </row>
    <row r="243" spans="1:10">
      <c r="A243" s="59" t="s">
        <v>111</v>
      </c>
      <c r="B243" s="59" t="s">
        <v>279</v>
      </c>
      <c r="C243" s="59" t="s">
        <v>476</v>
      </c>
      <c r="D243" s="59" t="s">
        <v>188</v>
      </c>
      <c r="E243" s="33">
        <v>2</v>
      </c>
      <c r="F243" s="33">
        <v>999999999.99899995</v>
      </c>
      <c r="G243" s="29" t="s">
        <v>112</v>
      </c>
      <c r="H243" s="30" t="s">
        <v>280</v>
      </c>
      <c r="I243" s="29" t="s">
        <v>477</v>
      </c>
      <c r="J243" s="28" t="s">
        <v>189</v>
      </c>
    </row>
    <row r="244" spans="1:10">
      <c r="A244" s="59" t="s">
        <v>111</v>
      </c>
      <c r="B244" s="59" t="s">
        <v>279</v>
      </c>
      <c r="C244" s="59" t="s">
        <v>656</v>
      </c>
      <c r="D244" s="59" t="s">
        <v>181</v>
      </c>
      <c r="E244" s="33">
        <v>1</v>
      </c>
      <c r="F244" s="33">
        <v>999999999</v>
      </c>
      <c r="G244" s="29" t="s">
        <v>112</v>
      </c>
      <c r="H244" s="30" t="s">
        <v>280</v>
      </c>
      <c r="I244" s="29" t="s">
        <v>657</v>
      </c>
      <c r="J244" s="28" t="s">
        <v>182</v>
      </c>
    </row>
    <row r="245" spans="1:10">
      <c r="A245" s="59" t="s">
        <v>111</v>
      </c>
      <c r="B245" s="59" t="s">
        <v>319</v>
      </c>
      <c r="C245" s="59" t="s">
        <v>801</v>
      </c>
      <c r="D245" s="59" t="s">
        <v>872</v>
      </c>
      <c r="E245" s="33">
        <v>1.6</v>
      </c>
      <c r="F245" s="33">
        <v>1000</v>
      </c>
      <c r="G245" s="29" t="s">
        <v>112</v>
      </c>
      <c r="H245" s="30" t="s">
        <v>320</v>
      </c>
      <c r="I245" s="29" t="s">
        <v>802</v>
      </c>
      <c r="J245" s="28" t="s">
        <v>873</v>
      </c>
    </row>
    <row r="246" spans="1:10">
      <c r="A246" s="59" t="s">
        <v>111</v>
      </c>
      <c r="B246" s="59" t="s">
        <v>319</v>
      </c>
      <c r="C246" s="59" t="s">
        <v>801</v>
      </c>
      <c r="D246" s="59" t="s">
        <v>872</v>
      </c>
      <c r="E246" s="33">
        <v>1.45</v>
      </c>
      <c r="F246" s="33">
        <v>3500</v>
      </c>
      <c r="G246" s="30" t="s">
        <v>112</v>
      </c>
      <c r="H246" s="30" t="s">
        <v>320</v>
      </c>
      <c r="I246" s="29" t="s">
        <v>802</v>
      </c>
      <c r="J246" s="28" t="s">
        <v>873</v>
      </c>
    </row>
    <row r="247" spans="1:10">
      <c r="A247" s="59" t="s">
        <v>111</v>
      </c>
      <c r="B247" s="59" t="s">
        <v>319</v>
      </c>
      <c r="C247" s="59" t="s">
        <v>801</v>
      </c>
      <c r="D247" s="59" t="s">
        <v>876</v>
      </c>
      <c r="E247" s="33">
        <v>3900</v>
      </c>
      <c r="F247" s="33">
        <v>999999999</v>
      </c>
      <c r="G247" s="30" t="s">
        <v>112</v>
      </c>
      <c r="H247" s="30" t="s">
        <v>320</v>
      </c>
      <c r="I247" s="29" t="s">
        <v>802</v>
      </c>
      <c r="J247" s="28" t="s">
        <v>877</v>
      </c>
    </row>
    <row r="248" spans="1:10">
      <c r="A248" s="59" t="s">
        <v>111</v>
      </c>
      <c r="B248" s="59" t="s">
        <v>319</v>
      </c>
      <c r="C248" s="59" t="s">
        <v>801</v>
      </c>
      <c r="D248" s="59" t="s">
        <v>874</v>
      </c>
      <c r="E248" s="33">
        <v>500</v>
      </c>
      <c r="F248" s="33">
        <v>999999999</v>
      </c>
      <c r="G248" s="30" t="s">
        <v>112</v>
      </c>
      <c r="H248" s="30" t="s">
        <v>320</v>
      </c>
      <c r="I248" s="29" t="s">
        <v>802</v>
      </c>
      <c r="J248" s="28" t="s">
        <v>875</v>
      </c>
    </row>
    <row r="249" spans="1:10">
      <c r="A249" s="59" t="s">
        <v>105</v>
      </c>
      <c r="B249" s="59" t="s">
        <v>319</v>
      </c>
      <c r="C249" s="59" t="s">
        <v>813</v>
      </c>
      <c r="D249" s="59" t="s">
        <v>181</v>
      </c>
      <c r="E249" s="33">
        <v>8.6</v>
      </c>
      <c r="F249" s="33">
        <v>99999</v>
      </c>
      <c r="G249" s="30" t="s">
        <v>106</v>
      </c>
      <c r="H249" s="30" t="s">
        <v>320</v>
      </c>
      <c r="I249" s="29" t="s">
        <v>839</v>
      </c>
      <c r="J249" s="28" t="s">
        <v>182</v>
      </c>
    </row>
    <row r="250" spans="1:10">
      <c r="A250" s="59" t="s">
        <v>105</v>
      </c>
      <c r="B250" s="59" t="s">
        <v>319</v>
      </c>
      <c r="C250" s="59" t="s">
        <v>814</v>
      </c>
      <c r="D250" s="59" t="s">
        <v>181</v>
      </c>
      <c r="E250" s="33">
        <v>8.3000000000000007</v>
      </c>
      <c r="F250" s="33">
        <v>99999</v>
      </c>
      <c r="G250" s="30" t="s">
        <v>106</v>
      </c>
      <c r="H250" s="30" t="s">
        <v>320</v>
      </c>
      <c r="I250" s="29" t="s">
        <v>840</v>
      </c>
      <c r="J250" s="28" t="s">
        <v>182</v>
      </c>
    </row>
    <row r="251" spans="1:10">
      <c r="A251" s="59" t="s">
        <v>105</v>
      </c>
      <c r="B251" s="59" t="s">
        <v>319</v>
      </c>
      <c r="C251" s="59" t="s">
        <v>841</v>
      </c>
      <c r="D251" s="59" t="s">
        <v>181</v>
      </c>
      <c r="E251" s="33">
        <v>6.5</v>
      </c>
      <c r="F251" s="33">
        <v>99999</v>
      </c>
      <c r="G251" s="30" t="s">
        <v>106</v>
      </c>
      <c r="H251" s="30" t="s">
        <v>320</v>
      </c>
      <c r="I251" s="29" t="s">
        <v>842</v>
      </c>
      <c r="J251" s="28" t="s">
        <v>182</v>
      </c>
    </row>
    <row r="252" spans="1:10">
      <c r="A252" s="59" t="s">
        <v>105</v>
      </c>
      <c r="B252" s="59" t="s">
        <v>319</v>
      </c>
      <c r="C252" s="59" t="s">
        <v>843</v>
      </c>
      <c r="D252" s="59" t="s">
        <v>181</v>
      </c>
      <c r="E252" s="33">
        <v>11.5</v>
      </c>
      <c r="F252" s="33">
        <v>99999</v>
      </c>
      <c r="G252" s="30" t="s">
        <v>106</v>
      </c>
      <c r="H252" s="30" t="s">
        <v>320</v>
      </c>
      <c r="I252" s="29" t="s">
        <v>844</v>
      </c>
      <c r="J252" s="28" t="s">
        <v>182</v>
      </c>
    </row>
    <row r="253" spans="1:10">
      <c r="A253" s="59" t="s">
        <v>105</v>
      </c>
      <c r="B253" s="59" t="s">
        <v>319</v>
      </c>
      <c r="C253" s="59" t="s">
        <v>843</v>
      </c>
      <c r="D253" s="59" t="s">
        <v>181</v>
      </c>
      <c r="E253" s="33">
        <v>7.5</v>
      </c>
      <c r="F253" s="33">
        <v>99999</v>
      </c>
      <c r="G253" s="30" t="s">
        <v>106</v>
      </c>
      <c r="H253" s="30" t="s">
        <v>320</v>
      </c>
      <c r="I253" s="29" t="s">
        <v>844</v>
      </c>
      <c r="J253" s="28" t="s">
        <v>182</v>
      </c>
    </row>
    <row r="254" spans="1:10">
      <c r="A254" s="59" t="s">
        <v>38</v>
      </c>
      <c r="B254" s="59" t="s">
        <v>396</v>
      </c>
      <c r="C254" s="59" t="s">
        <v>485</v>
      </c>
      <c r="D254" s="59" t="s">
        <v>181</v>
      </c>
      <c r="E254" s="33">
        <v>0.7</v>
      </c>
      <c r="F254" s="33">
        <v>999999999</v>
      </c>
      <c r="G254" s="29" t="s">
        <v>75</v>
      </c>
      <c r="H254" s="30" t="s">
        <v>397</v>
      </c>
      <c r="I254" s="29" t="s">
        <v>486</v>
      </c>
      <c r="J254" s="28" t="s">
        <v>182</v>
      </c>
    </row>
    <row r="255" spans="1:10">
      <c r="A255" s="59" t="s">
        <v>90</v>
      </c>
      <c r="B255" s="59" t="s">
        <v>319</v>
      </c>
      <c r="C255" s="59" t="s">
        <v>809</v>
      </c>
      <c r="D255" s="59" t="s">
        <v>190</v>
      </c>
      <c r="E255" s="33">
        <v>590</v>
      </c>
      <c r="F255" s="33">
        <v>99999</v>
      </c>
      <c r="G255" s="30" t="s">
        <v>91</v>
      </c>
      <c r="H255" s="30" t="s">
        <v>320</v>
      </c>
      <c r="I255" s="29" t="s">
        <v>835</v>
      </c>
      <c r="J255" s="28" t="s">
        <v>191</v>
      </c>
    </row>
    <row r="256" spans="1:10">
      <c r="A256" s="59" t="s">
        <v>90</v>
      </c>
      <c r="B256" s="59" t="s">
        <v>319</v>
      </c>
      <c r="C256" s="59" t="s">
        <v>810</v>
      </c>
      <c r="D256" s="59" t="s">
        <v>190</v>
      </c>
      <c r="E256" s="33">
        <v>500</v>
      </c>
      <c r="F256" s="33">
        <v>99999</v>
      </c>
      <c r="G256" s="30" t="s">
        <v>91</v>
      </c>
      <c r="H256" s="30" t="s">
        <v>320</v>
      </c>
      <c r="I256" s="29" t="s">
        <v>836</v>
      </c>
      <c r="J256" s="28" t="s">
        <v>191</v>
      </c>
    </row>
    <row r="257" spans="1:10">
      <c r="A257" s="59" t="s">
        <v>48</v>
      </c>
      <c r="B257" s="59" t="s">
        <v>382</v>
      </c>
      <c r="C257" s="59" t="s">
        <v>473</v>
      </c>
      <c r="D257" s="59" t="s">
        <v>188</v>
      </c>
      <c r="E257" s="33">
        <v>3.3330000000000002</v>
      </c>
      <c r="F257" s="33">
        <v>999999999</v>
      </c>
      <c r="G257" s="30" t="s">
        <v>123</v>
      </c>
      <c r="H257" s="30" t="s">
        <v>383</v>
      </c>
      <c r="I257" s="29" t="s">
        <v>474</v>
      </c>
      <c r="J257" s="28" t="s">
        <v>189</v>
      </c>
    </row>
    <row r="258" spans="1:10">
      <c r="A258" s="59" t="s">
        <v>48</v>
      </c>
      <c r="B258" s="59" t="s">
        <v>382</v>
      </c>
      <c r="C258" s="59" t="s">
        <v>478</v>
      </c>
      <c r="D258" s="59" t="s">
        <v>181</v>
      </c>
      <c r="E258" s="33">
        <v>1.3</v>
      </c>
      <c r="F258" s="33">
        <v>999999</v>
      </c>
      <c r="G258" s="29" t="s">
        <v>123</v>
      </c>
      <c r="H258" s="30" t="s">
        <v>383</v>
      </c>
      <c r="I258" s="29" t="s">
        <v>479</v>
      </c>
      <c r="J258" s="28" t="s">
        <v>182</v>
      </c>
    </row>
    <row r="259" spans="1:10">
      <c r="A259" s="59" t="s">
        <v>48</v>
      </c>
      <c r="B259" s="59" t="s">
        <v>382</v>
      </c>
      <c r="C259" s="59" t="s">
        <v>658</v>
      </c>
      <c r="D259" s="59" t="s">
        <v>181</v>
      </c>
      <c r="E259" s="33">
        <v>1.92</v>
      </c>
      <c r="F259" s="33">
        <v>999999</v>
      </c>
      <c r="G259" s="30" t="s">
        <v>123</v>
      </c>
      <c r="H259" s="30" t="s">
        <v>383</v>
      </c>
      <c r="I259" s="29" t="s">
        <v>659</v>
      </c>
      <c r="J259" s="28" t="s">
        <v>182</v>
      </c>
    </row>
    <row r="260" spans="1:10">
      <c r="A260" s="59" t="s">
        <v>42</v>
      </c>
      <c r="B260" s="59" t="s">
        <v>569</v>
      </c>
      <c r="C260" s="59" t="s">
        <v>571</v>
      </c>
      <c r="D260" s="59" t="s">
        <v>181</v>
      </c>
      <c r="E260" s="33">
        <v>0.35</v>
      </c>
      <c r="F260" s="33">
        <v>999999999</v>
      </c>
      <c r="G260" s="29" t="s">
        <v>79</v>
      </c>
      <c r="H260" s="30" t="s">
        <v>570</v>
      </c>
      <c r="I260" s="29" t="s">
        <v>572</v>
      </c>
      <c r="J260" s="28" t="s">
        <v>182</v>
      </c>
    </row>
    <row r="261" spans="1:10">
      <c r="A261" s="59" t="s">
        <v>86</v>
      </c>
      <c r="B261" s="59" t="s">
        <v>319</v>
      </c>
      <c r="C261" s="59" t="s">
        <v>857</v>
      </c>
      <c r="D261" s="59" t="s">
        <v>181</v>
      </c>
      <c r="E261" s="33">
        <v>1.99</v>
      </c>
      <c r="F261" s="33">
        <v>0</v>
      </c>
      <c r="G261" s="30" t="s">
        <v>87</v>
      </c>
      <c r="H261" s="30" t="s">
        <v>320</v>
      </c>
      <c r="I261" s="29" t="s">
        <v>858</v>
      </c>
      <c r="J261" s="28" t="s">
        <v>182</v>
      </c>
    </row>
    <row r="262" spans="1:10">
      <c r="A262" s="59" t="s">
        <v>86</v>
      </c>
      <c r="B262" s="59" t="s">
        <v>319</v>
      </c>
      <c r="C262" s="59" t="s">
        <v>859</v>
      </c>
      <c r="D262" s="59" t="s">
        <v>181</v>
      </c>
      <c r="E262" s="33">
        <v>2.66</v>
      </c>
      <c r="F262" s="33">
        <v>0</v>
      </c>
      <c r="G262" s="30" t="s">
        <v>87</v>
      </c>
      <c r="H262" s="30" t="s">
        <v>320</v>
      </c>
      <c r="I262" s="29" t="s">
        <v>860</v>
      </c>
      <c r="J262" s="28" t="s">
        <v>182</v>
      </c>
    </row>
    <row r="263" spans="1:10">
      <c r="A263" s="59" t="s">
        <v>93</v>
      </c>
      <c r="B263" s="59" t="s">
        <v>319</v>
      </c>
      <c r="C263" s="59" t="s">
        <v>845</v>
      </c>
      <c r="D263" s="59" t="s">
        <v>181</v>
      </c>
      <c r="E263" s="33">
        <v>3.3</v>
      </c>
      <c r="F263" s="33">
        <v>0</v>
      </c>
      <c r="G263" s="29" t="s">
        <v>94</v>
      </c>
      <c r="H263" s="30" t="s">
        <v>320</v>
      </c>
      <c r="I263" s="29" t="s">
        <v>846</v>
      </c>
      <c r="J263" s="28" t="s">
        <v>182</v>
      </c>
    </row>
    <row r="264" spans="1:10">
      <c r="A264" s="59" t="s">
        <v>93</v>
      </c>
      <c r="B264" s="59" t="s">
        <v>319</v>
      </c>
      <c r="C264" s="59" t="s">
        <v>847</v>
      </c>
      <c r="D264" s="59" t="s">
        <v>181</v>
      </c>
      <c r="E264" s="33">
        <v>2.2000000000000002</v>
      </c>
      <c r="F264" s="33">
        <v>0</v>
      </c>
      <c r="G264" s="29" t="s">
        <v>94</v>
      </c>
      <c r="H264" s="30" t="s">
        <v>320</v>
      </c>
      <c r="I264" s="29" t="s">
        <v>848</v>
      </c>
      <c r="J264" s="28" t="s">
        <v>182</v>
      </c>
    </row>
    <row r="265" spans="1:10">
      <c r="A265" s="59" t="s">
        <v>93</v>
      </c>
      <c r="B265" s="59" t="s">
        <v>319</v>
      </c>
      <c r="C265" s="59" t="s">
        <v>849</v>
      </c>
      <c r="D265" s="59" t="s">
        <v>181</v>
      </c>
      <c r="E265" s="33">
        <v>6.7</v>
      </c>
      <c r="F265" s="33">
        <v>0</v>
      </c>
      <c r="G265" s="29" t="s">
        <v>94</v>
      </c>
      <c r="H265" s="30" t="s">
        <v>320</v>
      </c>
      <c r="I265" s="29" t="s">
        <v>850</v>
      </c>
      <c r="J265" s="28" t="s">
        <v>182</v>
      </c>
    </row>
    <row r="266" spans="1:10">
      <c r="A266" s="59" t="s">
        <v>93</v>
      </c>
      <c r="B266" s="59" t="s">
        <v>319</v>
      </c>
      <c r="C266" s="59" t="s">
        <v>851</v>
      </c>
      <c r="D266" s="59" t="s">
        <v>181</v>
      </c>
      <c r="E266" s="33">
        <v>0.8</v>
      </c>
      <c r="F266" s="33">
        <v>0</v>
      </c>
      <c r="G266" s="30" t="s">
        <v>94</v>
      </c>
      <c r="H266" s="30" t="s">
        <v>320</v>
      </c>
      <c r="I266" s="29" t="s">
        <v>852</v>
      </c>
      <c r="J266" s="28" t="s">
        <v>182</v>
      </c>
    </row>
    <row r="267" spans="1:10">
      <c r="A267" s="59" t="s">
        <v>93</v>
      </c>
      <c r="B267" s="59" t="s">
        <v>319</v>
      </c>
      <c r="C267" s="59" t="s">
        <v>853</v>
      </c>
      <c r="D267" s="59" t="s">
        <v>181</v>
      </c>
      <c r="E267" s="33">
        <v>3.96</v>
      </c>
      <c r="F267" s="33">
        <v>0</v>
      </c>
      <c r="G267" s="29" t="s">
        <v>94</v>
      </c>
      <c r="H267" s="30" t="s">
        <v>320</v>
      </c>
      <c r="I267" s="29" t="s">
        <v>854</v>
      </c>
      <c r="J267" s="28" t="s">
        <v>182</v>
      </c>
    </row>
    <row r="268" spans="1:10">
      <c r="A268" s="59" t="s">
        <v>93</v>
      </c>
      <c r="B268" s="59" t="s">
        <v>319</v>
      </c>
      <c r="C268" s="59" t="s">
        <v>855</v>
      </c>
      <c r="D268" s="59" t="s">
        <v>181</v>
      </c>
      <c r="E268" s="33">
        <v>2.42</v>
      </c>
      <c r="F268" s="33">
        <v>0</v>
      </c>
      <c r="G268" s="29" t="s">
        <v>94</v>
      </c>
      <c r="H268" s="30" t="s">
        <v>320</v>
      </c>
      <c r="I268" s="29" t="s">
        <v>856</v>
      </c>
      <c r="J268" s="28" t="s">
        <v>182</v>
      </c>
    </row>
    <row r="269" spans="1:10">
      <c r="A269" s="60"/>
      <c r="B269" s="60"/>
      <c r="C269" s="61"/>
      <c r="D269" s="61"/>
      <c r="E269" s="34"/>
      <c r="F269" s="34"/>
      <c r="G269" s="34"/>
      <c r="H269" s="34"/>
      <c r="I269" s="34"/>
      <c r="J269" s="34"/>
    </row>
    <row r="270" spans="1:10">
      <c r="A270" s="60"/>
      <c r="B270" s="60"/>
      <c r="C270" s="61"/>
      <c r="D270" s="61"/>
      <c r="E270" s="34"/>
      <c r="F270" s="34"/>
      <c r="G270" s="34"/>
      <c r="H270" s="34"/>
      <c r="I270" s="34"/>
      <c r="J270" s="34"/>
    </row>
    <row r="271" spans="1:10">
      <c r="A271" s="60"/>
      <c r="B271" s="60"/>
      <c r="C271" s="61"/>
      <c r="D271" s="61"/>
      <c r="E271" s="34"/>
      <c r="F271" s="34"/>
      <c r="G271" s="34"/>
      <c r="H271" s="34"/>
      <c r="I271" s="34"/>
      <c r="J271" s="34"/>
    </row>
    <row r="272" spans="1:10">
      <c r="A272" s="60"/>
      <c r="B272" s="60"/>
      <c r="C272" s="61"/>
      <c r="D272" s="61"/>
      <c r="E272" s="34"/>
      <c r="F272" s="34"/>
      <c r="G272" s="34"/>
      <c r="H272" s="34"/>
      <c r="I272" s="34"/>
      <c r="J272" s="34"/>
    </row>
    <row r="273" spans="1:10">
      <c r="A273" s="60"/>
      <c r="B273" s="60"/>
      <c r="C273" s="61"/>
      <c r="D273" s="61"/>
      <c r="E273" s="34"/>
      <c r="F273" s="34"/>
      <c r="G273" s="34"/>
      <c r="H273" s="34"/>
      <c r="I273" s="34"/>
      <c r="J273" s="34"/>
    </row>
    <row r="274" spans="1:10">
      <c r="A274" s="60"/>
      <c r="B274" s="60"/>
      <c r="C274" s="61"/>
      <c r="D274" s="61"/>
      <c r="E274" s="34"/>
      <c r="F274" s="34"/>
      <c r="G274" s="34"/>
      <c r="H274" s="34"/>
      <c r="I274" s="34"/>
      <c r="J274" s="34"/>
    </row>
    <row r="275" spans="1:10">
      <c r="A275" s="60"/>
      <c r="B275" s="60"/>
      <c r="C275" s="61"/>
      <c r="D275" s="61"/>
      <c r="E275" s="34"/>
      <c r="F275" s="34"/>
      <c r="G275" s="34"/>
      <c r="H275" s="34"/>
      <c r="I275" s="34"/>
      <c r="J275" s="34"/>
    </row>
    <row r="276" spans="1:10">
      <c r="A276" s="60"/>
      <c r="B276" s="60"/>
      <c r="C276" s="61"/>
      <c r="D276" s="61"/>
      <c r="E276" s="34"/>
      <c r="F276" s="34"/>
      <c r="G276" s="34"/>
      <c r="H276" s="34"/>
      <c r="I276" s="34"/>
      <c r="J276" s="34"/>
    </row>
    <row r="277" spans="1:10">
      <c r="A277" s="60"/>
      <c r="B277" s="60"/>
      <c r="C277" s="61"/>
      <c r="D277" s="61"/>
      <c r="E277" s="34"/>
      <c r="F277" s="34"/>
      <c r="G277" s="34"/>
      <c r="H277" s="34"/>
      <c r="I277" s="34"/>
      <c r="J277" s="34"/>
    </row>
    <row r="278" spans="1:10">
      <c r="A278" s="60"/>
      <c r="B278" s="60"/>
      <c r="C278" s="61"/>
      <c r="D278" s="61"/>
      <c r="E278" s="34"/>
      <c r="F278" s="34"/>
      <c r="G278" s="34"/>
      <c r="H278" s="34"/>
      <c r="I278" s="34"/>
      <c r="J278" s="34"/>
    </row>
    <row r="279" spans="1:10">
      <c r="A279" s="60"/>
      <c r="B279" s="60"/>
      <c r="C279" s="61"/>
      <c r="D279" s="61"/>
      <c r="E279" s="34"/>
      <c r="F279" s="34"/>
      <c r="G279" s="34"/>
      <c r="H279" s="34"/>
      <c r="I279" s="34"/>
      <c r="J279" s="34"/>
    </row>
    <row r="280" spans="1:10">
      <c r="A280" s="60"/>
      <c r="B280" s="60"/>
      <c r="C280" s="61"/>
      <c r="D280" s="61"/>
      <c r="E280" s="34"/>
      <c r="F280" s="34"/>
      <c r="G280" s="34"/>
      <c r="H280" s="34"/>
      <c r="I280" s="34"/>
      <c r="J280" s="34"/>
    </row>
    <row r="281" spans="1:10">
      <c r="A281" s="60"/>
      <c r="B281" s="60"/>
      <c r="C281" s="61"/>
      <c r="D281" s="61"/>
      <c r="E281" s="34"/>
      <c r="F281" s="34"/>
      <c r="G281" s="34"/>
      <c r="H281" s="34"/>
      <c r="I281" s="34"/>
      <c r="J281" s="34"/>
    </row>
    <row r="282" spans="1:10">
      <c r="A282" s="60"/>
      <c r="B282" s="60"/>
      <c r="C282" s="61"/>
      <c r="D282" s="61"/>
      <c r="E282" s="34"/>
      <c r="F282" s="34"/>
      <c r="G282" s="34"/>
      <c r="H282" s="34"/>
      <c r="I282" s="34"/>
      <c r="J282" s="34"/>
    </row>
    <row r="283" spans="1:10">
      <c r="A283" s="60"/>
      <c r="B283" s="60"/>
      <c r="C283" s="61"/>
      <c r="D283" s="61"/>
      <c r="E283" s="34"/>
      <c r="F283" s="34"/>
      <c r="G283" s="34"/>
      <c r="H283" s="34"/>
      <c r="I283" s="34"/>
      <c r="J283" s="34"/>
    </row>
    <row r="284" spans="1:10">
      <c r="A284" s="60"/>
      <c r="B284" s="60"/>
      <c r="C284" s="61"/>
      <c r="D284" s="61"/>
      <c r="E284" s="34"/>
      <c r="F284" s="34"/>
      <c r="G284" s="34"/>
      <c r="H284" s="34"/>
      <c r="I284" s="34"/>
      <c r="J284" s="34"/>
    </row>
    <row r="285" spans="1:10">
      <c r="A285" s="60"/>
      <c r="B285" s="60"/>
      <c r="C285" s="61"/>
      <c r="D285" s="61"/>
      <c r="E285" s="34"/>
      <c r="F285" s="34"/>
      <c r="G285" s="34"/>
      <c r="H285" s="34"/>
      <c r="I285" s="34"/>
      <c r="J285" s="34"/>
    </row>
    <row r="286" spans="1:10">
      <c r="A286" s="60"/>
      <c r="B286" s="60"/>
      <c r="C286" s="61"/>
      <c r="D286" s="61"/>
      <c r="E286" s="34"/>
      <c r="F286" s="34"/>
      <c r="G286" s="34"/>
      <c r="H286" s="34"/>
      <c r="I286" s="34"/>
      <c r="J286" s="34"/>
    </row>
    <row r="287" spans="1:10">
      <c r="A287" s="60"/>
      <c r="B287" s="60"/>
      <c r="C287" s="61"/>
      <c r="D287" s="61"/>
      <c r="E287" s="34"/>
      <c r="F287" s="34"/>
      <c r="G287" s="34"/>
      <c r="H287" s="34"/>
      <c r="I287" s="34"/>
      <c r="J287" s="34"/>
    </row>
    <row r="288" spans="1:10">
      <c r="A288" s="60"/>
      <c r="B288" s="60"/>
      <c r="C288" s="61"/>
      <c r="D288" s="61"/>
      <c r="E288" s="34"/>
      <c r="F288" s="34"/>
      <c r="G288" s="34"/>
      <c r="H288" s="34"/>
      <c r="I288" s="34"/>
      <c r="J288" s="34"/>
    </row>
    <row r="289" spans="1:10">
      <c r="A289" s="60"/>
      <c r="B289" s="60"/>
      <c r="C289" s="61"/>
      <c r="D289" s="61"/>
      <c r="E289" s="34"/>
      <c r="F289" s="34"/>
      <c r="G289" s="34"/>
      <c r="H289" s="34"/>
      <c r="I289" s="34"/>
      <c r="J289" s="34"/>
    </row>
    <row r="290" spans="1:10">
      <c r="A290" s="60"/>
      <c r="B290" s="60"/>
      <c r="C290" s="61"/>
      <c r="D290" s="61"/>
      <c r="E290" s="34"/>
      <c r="F290" s="34"/>
      <c r="G290" s="34"/>
      <c r="H290" s="34"/>
      <c r="I290" s="34"/>
      <c r="J290" s="34"/>
    </row>
    <row r="291" spans="1:10">
      <c r="A291" s="60"/>
      <c r="B291" s="60"/>
      <c r="C291" s="61"/>
      <c r="D291" s="61"/>
      <c r="E291" s="34"/>
      <c r="F291" s="34"/>
      <c r="G291" s="34"/>
      <c r="H291" s="34"/>
      <c r="I291" s="34"/>
      <c r="J291" s="34"/>
    </row>
    <row r="292" spans="1:10">
      <c r="A292" s="60"/>
      <c r="B292" s="60"/>
      <c r="C292" s="61"/>
      <c r="D292" s="61"/>
      <c r="E292" s="34"/>
      <c r="F292" s="34"/>
      <c r="G292" s="34"/>
      <c r="H292" s="34"/>
      <c r="I292" s="34"/>
      <c r="J292" s="34"/>
    </row>
    <row r="293" spans="1:10">
      <c r="A293" s="60"/>
      <c r="B293" s="60"/>
      <c r="C293" s="61"/>
      <c r="D293" s="61"/>
      <c r="E293" s="34"/>
      <c r="F293" s="34"/>
      <c r="G293" s="34"/>
      <c r="H293" s="34"/>
      <c r="I293" s="34"/>
      <c r="J293" s="34"/>
    </row>
    <row r="294" spans="1:10">
      <c r="A294" s="60"/>
      <c r="B294" s="60"/>
      <c r="C294" s="61"/>
      <c r="D294" s="61"/>
      <c r="E294" s="34"/>
      <c r="F294" s="34"/>
      <c r="G294" s="34"/>
      <c r="H294" s="34"/>
      <c r="I294" s="34"/>
      <c r="J294" s="34"/>
    </row>
    <row r="295" spans="1:10">
      <c r="A295" s="60"/>
      <c r="B295" s="60"/>
      <c r="C295" s="61"/>
      <c r="D295" s="61"/>
      <c r="E295" s="34"/>
      <c r="F295" s="34"/>
      <c r="G295" s="34"/>
      <c r="H295" s="34"/>
      <c r="I295" s="34"/>
      <c r="J295" s="34"/>
    </row>
    <row r="296" spans="1:10">
      <c r="A296" s="60"/>
      <c r="B296" s="60"/>
      <c r="C296" s="61"/>
      <c r="D296" s="61"/>
      <c r="E296" s="34"/>
      <c r="F296" s="34"/>
      <c r="G296" s="34"/>
      <c r="H296" s="34"/>
      <c r="I296" s="34"/>
      <c r="J296" s="34"/>
    </row>
    <row r="297" spans="1:10">
      <c r="A297" s="60"/>
      <c r="B297" s="60"/>
      <c r="C297" s="61"/>
      <c r="D297" s="61"/>
      <c r="E297" s="34"/>
      <c r="F297" s="34"/>
      <c r="G297" s="34"/>
      <c r="H297" s="34"/>
      <c r="I297" s="34"/>
      <c r="J297" s="34"/>
    </row>
    <row r="298" spans="1:10">
      <c r="A298" s="60"/>
      <c r="B298" s="60"/>
      <c r="C298" s="61"/>
      <c r="D298" s="61"/>
      <c r="E298" s="34"/>
      <c r="F298" s="34"/>
      <c r="G298" s="34"/>
      <c r="H298" s="34"/>
      <c r="I298" s="34"/>
      <c r="J298" s="34"/>
    </row>
    <row r="299" spans="1:10">
      <c r="A299" s="60"/>
      <c r="B299" s="60"/>
      <c r="C299" s="61"/>
      <c r="D299" s="61"/>
      <c r="E299" s="34"/>
      <c r="F299" s="34"/>
      <c r="G299" s="34"/>
      <c r="H299" s="34"/>
      <c r="I299" s="34"/>
      <c r="J299" s="34"/>
    </row>
    <row r="300" spans="1:10">
      <c r="A300" s="60"/>
      <c r="B300" s="60"/>
      <c r="C300" s="61"/>
      <c r="D300" s="61"/>
      <c r="E300" s="34"/>
      <c r="F300" s="34"/>
      <c r="G300" s="34"/>
      <c r="H300" s="34"/>
      <c r="I300" s="34"/>
      <c r="J300" s="34"/>
    </row>
    <row r="301" spans="1:10">
      <c r="A301" s="60"/>
      <c r="B301" s="60"/>
      <c r="C301" s="61"/>
      <c r="D301" s="61"/>
      <c r="E301" s="34"/>
      <c r="F301" s="34"/>
      <c r="G301" s="34"/>
      <c r="H301" s="34"/>
      <c r="I301" s="34"/>
      <c r="J301" s="34"/>
    </row>
    <row r="302" spans="1:10">
      <c r="A302" s="60"/>
      <c r="B302" s="60"/>
      <c r="C302" s="61"/>
      <c r="D302" s="61"/>
      <c r="E302" s="34"/>
      <c r="F302" s="34"/>
      <c r="G302" s="34"/>
      <c r="H302" s="34"/>
      <c r="I302" s="34"/>
      <c r="J302" s="34"/>
    </row>
    <row r="303" spans="1:10">
      <c r="A303" s="60"/>
      <c r="B303" s="60"/>
      <c r="C303" s="61"/>
      <c r="D303" s="61"/>
      <c r="E303" s="34"/>
      <c r="F303" s="34"/>
      <c r="G303" s="34"/>
      <c r="H303" s="34"/>
      <c r="I303" s="34"/>
      <c r="J303" s="34"/>
    </row>
    <row r="304" spans="1:10">
      <c r="A304" s="60"/>
      <c r="B304" s="60"/>
      <c r="C304" s="61"/>
      <c r="D304" s="61"/>
      <c r="E304" s="34"/>
      <c r="F304" s="34"/>
      <c r="G304" s="34"/>
      <c r="H304" s="34"/>
      <c r="I304" s="34"/>
      <c r="J304" s="34"/>
    </row>
    <row r="305" spans="1:10">
      <c r="A305" s="60"/>
      <c r="B305" s="60"/>
      <c r="C305" s="61"/>
      <c r="D305" s="61"/>
      <c r="E305" s="34"/>
      <c r="F305" s="34"/>
      <c r="G305" s="34"/>
      <c r="H305" s="34"/>
      <c r="I305" s="34"/>
      <c r="J305" s="34"/>
    </row>
    <row r="306" spans="1:10">
      <c r="A306" s="60"/>
      <c r="B306" s="60"/>
      <c r="C306" s="61"/>
      <c r="D306" s="61"/>
      <c r="E306" s="34"/>
      <c r="F306" s="34"/>
      <c r="G306" s="34"/>
      <c r="H306" s="34"/>
      <c r="I306" s="34"/>
      <c r="J306" s="34"/>
    </row>
    <row r="307" spans="1:10">
      <c r="A307" s="60"/>
      <c r="B307" s="60"/>
      <c r="C307" s="61"/>
      <c r="D307" s="61"/>
      <c r="E307" s="34"/>
      <c r="F307" s="34"/>
      <c r="G307" s="34"/>
      <c r="H307" s="34"/>
      <c r="I307" s="34"/>
      <c r="J307" s="34"/>
    </row>
    <row r="308" spans="1:10">
      <c r="A308" s="60"/>
      <c r="B308" s="60"/>
      <c r="C308" s="61"/>
      <c r="D308" s="61"/>
      <c r="E308" s="34"/>
      <c r="F308" s="34"/>
      <c r="G308" s="34"/>
      <c r="H308" s="34"/>
      <c r="I308" s="34"/>
      <c r="J308" s="34"/>
    </row>
    <row r="309" spans="1:10">
      <c r="A309" s="60"/>
      <c r="B309" s="60"/>
      <c r="C309" s="61"/>
      <c r="D309" s="61"/>
      <c r="E309" s="34"/>
      <c r="F309" s="34"/>
      <c r="G309" s="34"/>
      <c r="H309" s="34"/>
      <c r="I309" s="34"/>
      <c r="J309" s="34"/>
    </row>
    <row r="310" spans="1:10">
      <c r="A310" s="60"/>
      <c r="B310" s="60"/>
      <c r="C310" s="61"/>
      <c r="D310" s="61"/>
      <c r="E310" s="34"/>
      <c r="F310" s="34"/>
      <c r="G310" s="34"/>
      <c r="H310" s="34"/>
      <c r="I310" s="34"/>
      <c r="J310" s="34"/>
    </row>
    <row r="311" spans="1:10">
      <c r="A311" s="60"/>
      <c r="B311" s="60"/>
      <c r="C311" s="61"/>
      <c r="D311" s="61"/>
      <c r="E311" s="34"/>
      <c r="F311" s="34"/>
      <c r="G311" s="34"/>
      <c r="H311" s="34"/>
      <c r="I311" s="34"/>
      <c r="J311" s="34"/>
    </row>
    <row r="312" spans="1:10">
      <c r="A312" s="60"/>
      <c r="B312" s="60"/>
      <c r="C312" s="61"/>
      <c r="D312" s="61"/>
      <c r="E312" s="34"/>
      <c r="F312" s="34"/>
      <c r="G312" s="34"/>
      <c r="H312" s="34"/>
      <c r="I312" s="34"/>
      <c r="J312" s="34"/>
    </row>
    <row r="313" spans="1:10">
      <c r="A313" s="60"/>
      <c r="B313" s="60"/>
      <c r="C313" s="61"/>
      <c r="D313" s="61"/>
      <c r="E313" s="34"/>
      <c r="F313" s="34"/>
      <c r="G313" s="34"/>
      <c r="H313" s="34"/>
      <c r="I313" s="34"/>
      <c r="J313" s="34"/>
    </row>
    <row r="314" spans="1:10">
      <c r="A314" s="60"/>
      <c r="B314" s="60"/>
      <c r="C314" s="61"/>
      <c r="D314" s="61"/>
      <c r="E314" s="34"/>
      <c r="F314" s="34"/>
      <c r="G314" s="34"/>
      <c r="H314" s="34"/>
      <c r="I314" s="34"/>
      <c r="J314" s="34"/>
    </row>
    <row r="315" spans="1:10">
      <c r="A315" s="60"/>
      <c r="B315" s="60"/>
      <c r="C315" s="61"/>
      <c r="D315" s="61"/>
      <c r="E315" s="34"/>
      <c r="F315" s="34"/>
      <c r="G315" s="34"/>
      <c r="H315" s="34"/>
      <c r="I315" s="34"/>
      <c r="J315" s="34"/>
    </row>
    <row r="316" spans="1:10">
      <c r="A316" s="60"/>
      <c r="B316" s="60"/>
      <c r="C316" s="61"/>
      <c r="D316" s="61"/>
      <c r="E316" s="34"/>
      <c r="F316" s="34"/>
      <c r="G316" s="34"/>
      <c r="H316" s="34"/>
      <c r="I316" s="34"/>
      <c r="J316" s="34"/>
    </row>
    <row r="317" spans="1:10">
      <c r="A317" s="60"/>
      <c r="B317" s="60"/>
      <c r="C317" s="61"/>
      <c r="D317" s="61"/>
      <c r="E317" s="34"/>
      <c r="F317" s="34"/>
      <c r="G317" s="34"/>
      <c r="H317" s="34"/>
      <c r="I317" s="34"/>
      <c r="J317" s="34"/>
    </row>
    <row r="318" spans="1:10">
      <c r="A318" s="60"/>
      <c r="B318" s="60"/>
      <c r="C318" s="61"/>
      <c r="D318" s="61"/>
      <c r="E318" s="34"/>
      <c r="F318" s="34"/>
      <c r="G318" s="34"/>
      <c r="H318" s="34"/>
      <c r="I318" s="34"/>
      <c r="J318" s="34"/>
    </row>
    <row r="319" spans="1:10">
      <c r="A319" s="60"/>
      <c r="B319" s="60"/>
      <c r="C319" s="61"/>
      <c r="D319" s="61"/>
      <c r="E319" s="34"/>
      <c r="F319" s="34"/>
      <c r="G319" s="34"/>
      <c r="H319" s="34"/>
      <c r="I319" s="34"/>
      <c r="J319" s="34"/>
    </row>
    <row r="320" spans="1:10">
      <c r="A320" s="60"/>
      <c r="B320" s="60"/>
      <c r="C320" s="61"/>
      <c r="D320" s="61"/>
      <c r="E320" s="34"/>
      <c r="F320" s="34"/>
      <c r="G320" s="34"/>
      <c r="H320" s="34"/>
      <c r="I320" s="34"/>
      <c r="J320" s="34"/>
    </row>
    <row r="321" spans="1:10">
      <c r="A321" s="60"/>
      <c r="B321" s="60"/>
      <c r="C321" s="61"/>
      <c r="D321" s="61"/>
      <c r="E321" s="34"/>
      <c r="F321" s="34"/>
      <c r="G321" s="34"/>
      <c r="H321" s="34"/>
      <c r="I321" s="34"/>
      <c r="J321" s="34"/>
    </row>
    <row r="322" spans="1:10">
      <c r="A322" s="60"/>
      <c r="B322" s="60"/>
      <c r="C322" s="61"/>
      <c r="D322" s="61"/>
      <c r="E322" s="34"/>
      <c r="F322" s="34"/>
      <c r="G322" s="34"/>
      <c r="H322" s="34"/>
      <c r="I322" s="34"/>
      <c r="J322" s="34"/>
    </row>
    <row r="323" spans="1:10">
      <c r="A323" s="60"/>
      <c r="B323" s="60"/>
      <c r="C323" s="61"/>
      <c r="D323" s="61"/>
      <c r="E323" s="34"/>
      <c r="F323" s="34"/>
      <c r="G323" s="34"/>
      <c r="H323" s="34"/>
      <c r="I323" s="34"/>
      <c r="J323" s="34"/>
    </row>
    <row r="324" spans="1:10">
      <c r="A324" s="60"/>
      <c r="B324" s="60"/>
      <c r="C324" s="61"/>
      <c r="D324" s="61"/>
      <c r="E324" s="34"/>
      <c r="F324" s="34"/>
      <c r="G324" s="34"/>
      <c r="H324" s="34"/>
      <c r="I324" s="34"/>
      <c r="J324" s="34"/>
    </row>
    <row r="325" spans="1:10">
      <c r="A325" s="60"/>
      <c r="B325" s="60"/>
      <c r="C325" s="61"/>
      <c r="D325" s="61"/>
      <c r="E325" s="34"/>
      <c r="F325" s="34"/>
      <c r="G325" s="34"/>
      <c r="H325" s="34"/>
      <c r="I325" s="34"/>
      <c r="J325" s="34"/>
    </row>
    <row r="326" spans="1:10">
      <c r="A326" s="60"/>
      <c r="B326" s="60"/>
      <c r="C326" s="61"/>
      <c r="D326" s="61"/>
      <c r="E326" s="34"/>
      <c r="F326" s="34"/>
      <c r="G326" s="34"/>
      <c r="H326" s="34"/>
      <c r="I326" s="34"/>
      <c r="J326" s="34"/>
    </row>
    <row r="327" spans="1:10">
      <c r="A327" s="60"/>
      <c r="B327" s="60"/>
      <c r="C327" s="61"/>
      <c r="D327" s="61"/>
      <c r="E327" s="34"/>
      <c r="F327" s="34"/>
      <c r="G327" s="34"/>
      <c r="H327" s="34"/>
      <c r="I327" s="34"/>
      <c r="J327" s="34"/>
    </row>
    <row r="328" spans="1:10">
      <c r="A328" s="60"/>
      <c r="B328" s="60"/>
      <c r="C328" s="61"/>
      <c r="D328" s="61"/>
      <c r="E328" s="34"/>
      <c r="F328" s="34"/>
      <c r="G328" s="34"/>
      <c r="H328" s="34"/>
      <c r="I328" s="34"/>
      <c r="J328" s="34"/>
    </row>
    <row r="329" spans="1:10">
      <c r="A329" s="60"/>
      <c r="B329" s="60"/>
      <c r="C329" s="61"/>
      <c r="D329" s="61"/>
      <c r="E329" s="34"/>
      <c r="F329" s="34"/>
      <c r="G329" s="34"/>
      <c r="H329" s="34"/>
      <c r="I329" s="34"/>
      <c r="J329" s="34"/>
    </row>
    <row r="330" spans="1:10">
      <c r="A330" s="60"/>
      <c r="B330" s="60"/>
      <c r="C330" s="61"/>
      <c r="D330" s="61"/>
      <c r="E330" s="34"/>
      <c r="F330" s="34"/>
      <c r="G330" s="34"/>
      <c r="H330" s="34"/>
      <c r="I330" s="34"/>
      <c r="J330" s="34"/>
    </row>
    <row r="331" spans="1:10">
      <c r="A331" s="60"/>
      <c r="B331" s="60"/>
      <c r="C331" s="61"/>
      <c r="D331" s="61"/>
      <c r="E331" s="34"/>
      <c r="F331" s="34"/>
      <c r="G331" s="34"/>
      <c r="H331" s="34"/>
      <c r="I331" s="34"/>
      <c r="J331" s="34"/>
    </row>
    <row r="332" spans="1:10">
      <c r="A332" s="60"/>
      <c r="B332" s="60"/>
      <c r="C332" s="61"/>
      <c r="D332" s="61"/>
      <c r="E332" s="34"/>
      <c r="F332" s="34"/>
      <c r="G332" s="34"/>
      <c r="H332" s="34"/>
      <c r="I332" s="34"/>
      <c r="J332" s="34"/>
    </row>
    <row r="333" spans="1:10">
      <c r="A333" s="60"/>
      <c r="B333" s="60"/>
      <c r="C333" s="61"/>
      <c r="D333" s="61"/>
      <c r="E333" s="34"/>
      <c r="F333" s="34"/>
      <c r="G333" s="34"/>
      <c r="H333" s="34"/>
      <c r="I333" s="34"/>
      <c r="J333" s="34"/>
    </row>
    <row r="334" spans="1:10">
      <c r="A334" s="60"/>
      <c r="B334" s="60"/>
      <c r="C334" s="61"/>
      <c r="D334" s="61"/>
      <c r="E334" s="34"/>
      <c r="F334" s="34"/>
      <c r="G334" s="34"/>
      <c r="H334" s="34"/>
      <c r="I334" s="34"/>
      <c r="J334" s="34"/>
    </row>
    <row r="335" spans="1:10">
      <c r="A335" s="60"/>
      <c r="B335" s="60"/>
      <c r="C335" s="61"/>
      <c r="D335" s="61"/>
      <c r="E335" s="34"/>
      <c r="F335" s="34"/>
      <c r="G335" s="34"/>
      <c r="H335" s="34"/>
      <c r="I335" s="34"/>
      <c r="J335" s="34"/>
    </row>
    <row r="336" spans="1:10">
      <c r="A336" s="60"/>
      <c r="B336" s="60"/>
      <c r="C336" s="61"/>
      <c r="D336" s="61"/>
      <c r="E336" s="34"/>
      <c r="F336" s="34"/>
      <c r="G336" s="34"/>
      <c r="H336" s="34"/>
      <c r="I336" s="34"/>
      <c r="J336" s="34"/>
    </row>
    <row r="337" spans="1:10">
      <c r="A337" s="60"/>
      <c r="B337" s="60"/>
      <c r="C337" s="61"/>
      <c r="D337" s="61"/>
      <c r="E337" s="34"/>
      <c r="F337" s="34"/>
      <c r="G337" s="34"/>
      <c r="H337" s="34"/>
      <c r="I337" s="34"/>
      <c r="J337" s="34"/>
    </row>
    <row r="338" spans="1:10">
      <c r="A338" s="60"/>
      <c r="B338" s="60"/>
      <c r="C338" s="61"/>
      <c r="D338" s="61"/>
      <c r="E338" s="34"/>
      <c r="F338" s="34"/>
      <c r="G338" s="34"/>
      <c r="H338" s="34"/>
      <c r="I338" s="34"/>
      <c r="J338" s="34"/>
    </row>
    <row r="339" spans="1:10">
      <c r="A339" s="60"/>
      <c r="B339" s="60"/>
      <c r="C339" s="61"/>
      <c r="D339" s="61"/>
      <c r="E339" s="34"/>
      <c r="F339" s="34"/>
      <c r="G339" s="34"/>
      <c r="H339" s="34"/>
      <c r="I339" s="34"/>
      <c r="J339" s="34"/>
    </row>
    <row r="340" spans="1:10">
      <c r="A340" s="60"/>
      <c r="B340" s="60"/>
      <c r="C340" s="61"/>
      <c r="D340" s="61"/>
      <c r="E340" s="34"/>
      <c r="F340" s="34"/>
      <c r="G340" s="34"/>
      <c r="H340" s="34"/>
      <c r="I340" s="34"/>
      <c r="J340" s="34"/>
    </row>
    <row r="341" spans="1:10">
      <c r="A341" s="60"/>
      <c r="B341" s="60"/>
      <c r="C341" s="61"/>
      <c r="D341" s="61"/>
      <c r="E341" s="34"/>
      <c r="F341" s="34"/>
      <c r="G341" s="34"/>
      <c r="H341" s="34"/>
      <c r="I341" s="34"/>
      <c r="J341" s="34"/>
    </row>
    <row r="342" spans="1:10">
      <c r="A342" s="60"/>
      <c r="B342" s="60"/>
      <c r="C342" s="61"/>
      <c r="D342" s="61"/>
      <c r="E342" s="34"/>
      <c r="F342" s="34"/>
      <c r="G342" s="34"/>
      <c r="H342" s="34"/>
      <c r="I342" s="34"/>
      <c r="J342" s="34"/>
    </row>
    <row r="343" spans="1:10">
      <c r="A343" s="60"/>
      <c r="B343" s="60"/>
      <c r="C343" s="61"/>
      <c r="D343" s="61"/>
      <c r="E343" s="34"/>
      <c r="F343" s="34"/>
      <c r="G343" s="34"/>
      <c r="H343" s="34"/>
      <c r="I343" s="34"/>
      <c r="J343" s="34"/>
    </row>
    <row r="344" spans="1:10">
      <c r="A344" s="60"/>
      <c r="B344" s="60"/>
      <c r="C344" s="61"/>
      <c r="D344" s="61"/>
      <c r="E344" s="34"/>
      <c r="F344" s="34"/>
      <c r="G344" s="34"/>
      <c r="H344" s="34"/>
      <c r="I344" s="34"/>
      <c r="J344" s="34"/>
    </row>
    <row r="345" spans="1:10">
      <c r="A345" s="60"/>
      <c r="B345" s="60"/>
      <c r="C345" s="61"/>
      <c r="D345" s="61"/>
      <c r="E345" s="34"/>
      <c r="F345" s="34"/>
      <c r="G345" s="34"/>
      <c r="H345" s="34"/>
      <c r="I345" s="34"/>
      <c r="J345" s="34"/>
    </row>
    <row r="346" spans="1:10">
      <c r="A346" s="60"/>
      <c r="B346" s="60"/>
      <c r="C346" s="61"/>
      <c r="D346" s="61"/>
      <c r="E346" s="34"/>
      <c r="F346" s="34"/>
      <c r="G346" s="34"/>
      <c r="H346" s="34"/>
      <c r="I346" s="34"/>
      <c r="J346" s="34"/>
    </row>
    <row r="347" spans="1:10">
      <c r="A347" s="60"/>
      <c r="B347" s="60"/>
      <c r="C347" s="61"/>
      <c r="D347" s="61"/>
      <c r="E347" s="34"/>
      <c r="F347" s="34"/>
      <c r="G347" s="34"/>
      <c r="H347" s="34"/>
      <c r="I347" s="34"/>
      <c r="J347" s="34"/>
    </row>
    <row r="348" spans="1:10">
      <c r="A348" s="60"/>
      <c r="B348" s="60"/>
      <c r="C348" s="61"/>
      <c r="D348" s="61"/>
      <c r="E348" s="34"/>
      <c r="F348" s="34"/>
      <c r="G348" s="34"/>
      <c r="H348" s="34"/>
      <c r="I348" s="34"/>
      <c r="J348" s="34"/>
    </row>
    <row r="349" spans="1:10">
      <c r="A349" s="60"/>
      <c r="B349" s="60"/>
      <c r="C349" s="61"/>
      <c r="D349" s="61"/>
      <c r="E349" s="34"/>
      <c r="F349" s="34"/>
      <c r="G349" s="34"/>
      <c r="H349" s="34"/>
      <c r="I349" s="34"/>
      <c r="J349" s="34"/>
    </row>
    <row r="350" spans="1:10">
      <c r="A350" s="60"/>
      <c r="B350" s="60"/>
      <c r="C350" s="61"/>
      <c r="D350" s="61"/>
      <c r="E350" s="34"/>
      <c r="F350" s="34"/>
      <c r="G350" s="34"/>
      <c r="H350" s="34"/>
      <c r="I350" s="34"/>
      <c r="J350" s="34"/>
    </row>
    <row r="351" spans="1:10">
      <c r="A351" s="60"/>
      <c r="B351" s="60"/>
      <c r="C351" s="61"/>
      <c r="D351" s="61"/>
      <c r="E351" s="34"/>
      <c r="F351" s="34"/>
      <c r="G351" s="34"/>
      <c r="H351" s="34"/>
      <c r="I351" s="34"/>
      <c r="J351" s="34"/>
    </row>
    <row r="352" spans="1:10">
      <c r="A352" s="60"/>
      <c r="B352" s="60"/>
      <c r="C352" s="61"/>
      <c r="D352" s="61"/>
      <c r="E352" s="34"/>
      <c r="F352" s="34"/>
      <c r="G352" s="34"/>
      <c r="H352" s="34"/>
      <c r="I352" s="34"/>
      <c r="J352" s="34"/>
    </row>
    <row r="353" spans="1:10">
      <c r="A353" s="60"/>
      <c r="B353" s="60"/>
      <c r="C353" s="61"/>
      <c r="D353" s="61"/>
      <c r="E353" s="34"/>
      <c r="F353" s="34"/>
      <c r="G353" s="34"/>
      <c r="H353" s="34"/>
      <c r="I353" s="34"/>
      <c r="J353" s="34"/>
    </row>
    <row r="354" spans="1:10">
      <c r="A354" s="60"/>
      <c r="B354" s="60"/>
      <c r="C354" s="61"/>
      <c r="D354" s="61"/>
      <c r="E354" s="34"/>
      <c r="F354" s="34"/>
      <c r="G354" s="34"/>
      <c r="H354" s="34"/>
      <c r="I354" s="34"/>
      <c r="J354" s="34"/>
    </row>
    <row r="355" spans="1:10">
      <c r="A355" s="60"/>
      <c r="B355" s="60"/>
      <c r="C355" s="61"/>
      <c r="D355" s="61"/>
      <c r="E355" s="34"/>
      <c r="F355" s="34"/>
      <c r="G355" s="34"/>
      <c r="H355" s="34"/>
      <c r="I355" s="34"/>
      <c r="J355" s="34"/>
    </row>
    <row r="356" spans="1:10">
      <c r="A356" s="60"/>
      <c r="B356" s="60"/>
      <c r="C356" s="61"/>
      <c r="D356" s="61"/>
      <c r="E356" s="34"/>
      <c r="F356" s="34"/>
      <c r="G356" s="34"/>
      <c r="H356" s="34"/>
      <c r="I356" s="34"/>
      <c r="J356" s="34"/>
    </row>
    <row r="357" spans="1:10">
      <c r="A357" s="60"/>
      <c r="B357" s="60"/>
      <c r="C357" s="61"/>
      <c r="D357" s="61"/>
      <c r="E357" s="34"/>
      <c r="F357" s="34"/>
      <c r="G357" s="34"/>
      <c r="H357" s="34"/>
      <c r="I357" s="34"/>
      <c r="J357" s="34"/>
    </row>
    <row r="358" spans="1:10">
      <c r="A358" s="60"/>
      <c r="B358" s="60"/>
      <c r="C358" s="61"/>
      <c r="D358" s="61"/>
      <c r="E358" s="34"/>
      <c r="F358" s="34"/>
      <c r="G358" s="34"/>
      <c r="H358" s="34"/>
      <c r="I358" s="34"/>
      <c r="J358" s="34"/>
    </row>
    <row r="359" spans="1:10">
      <c r="A359" s="60"/>
      <c r="B359" s="60"/>
      <c r="C359" s="61"/>
      <c r="D359" s="61"/>
      <c r="E359" s="34"/>
      <c r="F359" s="34"/>
      <c r="G359" s="34"/>
      <c r="H359" s="34"/>
      <c r="I359" s="34"/>
      <c r="J359" s="34"/>
    </row>
    <row r="360" spans="1:10">
      <c r="A360" s="60"/>
      <c r="B360" s="60"/>
      <c r="C360" s="61"/>
      <c r="D360" s="61"/>
      <c r="E360" s="34"/>
      <c r="F360" s="34"/>
      <c r="G360" s="34"/>
      <c r="H360" s="34"/>
      <c r="I360" s="34"/>
      <c r="J360" s="34"/>
    </row>
    <row r="361" spans="1:10">
      <c r="A361" s="60"/>
      <c r="B361" s="60"/>
      <c r="C361" s="61"/>
      <c r="D361" s="61"/>
      <c r="E361" s="34"/>
      <c r="F361" s="34"/>
      <c r="G361" s="34"/>
      <c r="H361" s="34"/>
      <c r="I361" s="34"/>
      <c r="J361" s="34"/>
    </row>
    <row r="362" spans="1:10">
      <c r="A362" s="60"/>
      <c r="B362" s="60"/>
      <c r="C362" s="61"/>
      <c r="D362" s="61"/>
      <c r="E362" s="34"/>
      <c r="F362" s="34"/>
      <c r="G362" s="34"/>
      <c r="H362" s="34"/>
      <c r="I362" s="34"/>
      <c r="J362" s="34"/>
    </row>
    <row r="363" spans="1:10">
      <c r="A363" s="60"/>
      <c r="B363" s="60"/>
      <c r="C363" s="61"/>
      <c r="D363" s="61"/>
      <c r="E363" s="34"/>
      <c r="F363" s="34"/>
      <c r="G363" s="34"/>
      <c r="H363" s="34"/>
      <c r="I363" s="34"/>
      <c r="J363" s="34"/>
    </row>
    <row r="364" spans="1:10">
      <c r="A364" s="60"/>
      <c r="B364" s="60"/>
      <c r="C364" s="61"/>
      <c r="D364" s="61"/>
      <c r="E364" s="34"/>
      <c r="F364" s="34"/>
      <c r="G364" s="34"/>
      <c r="H364" s="34"/>
      <c r="I364" s="34"/>
      <c r="J364" s="34"/>
    </row>
    <row r="365" spans="1:10">
      <c r="A365" s="60"/>
      <c r="B365" s="60"/>
      <c r="C365" s="61"/>
      <c r="D365" s="61"/>
      <c r="E365" s="34"/>
      <c r="F365" s="34"/>
      <c r="G365" s="34"/>
      <c r="H365" s="34"/>
      <c r="I365" s="34"/>
      <c r="J365" s="34"/>
    </row>
    <row r="366" spans="1:10">
      <c r="A366" s="60"/>
      <c r="B366" s="60"/>
      <c r="C366" s="61"/>
      <c r="D366" s="61"/>
      <c r="E366" s="34"/>
      <c r="F366" s="34"/>
      <c r="G366" s="34"/>
      <c r="H366" s="34"/>
      <c r="I366" s="34"/>
      <c r="J366" s="34"/>
    </row>
    <row r="367" spans="1:10">
      <c r="A367" s="60"/>
      <c r="B367" s="60"/>
      <c r="C367" s="61"/>
      <c r="D367" s="61"/>
      <c r="E367" s="34"/>
      <c r="F367" s="34"/>
      <c r="G367" s="34"/>
      <c r="H367" s="34"/>
      <c r="I367" s="34"/>
      <c r="J367" s="34"/>
    </row>
    <row r="368" spans="1:10">
      <c r="A368" s="60"/>
      <c r="B368" s="60"/>
      <c r="C368" s="61"/>
      <c r="D368" s="61"/>
      <c r="E368" s="34"/>
      <c r="F368" s="34"/>
      <c r="G368" s="34"/>
      <c r="H368" s="34"/>
      <c r="I368" s="34"/>
      <c r="J368" s="34"/>
    </row>
    <row r="369" spans="1:10">
      <c r="A369" s="60"/>
      <c r="B369" s="60"/>
      <c r="C369" s="61"/>
      <c r="D369" s="61"/>
      <c r="E369" s="34"/>
      <c r="F369" s="34"/>
      <c r="G369" s="34"/>
      <c r="H369" s="34"/>
      <c r="I369" s="34"/>
      <c r="J369" s="34"/>
    </row>
    <row r="370" spans="1:10">
      <c r="A370" s="60"/>
      <c r="B370" s="60"/>
      <c r="C370" s="61"/>
      <c r="D370" s="61"/>
      <c r="E370" s="34"/>
      <c r="F370" s="34"/>
      <c r="G370" s="34"/>
      <c r="H370" s="34"/>
      <c r="I370" s="34"/>
      <c r="J370" s="34"/>
    </row>
    <row r="371" spans="1:10">
      <c r="A371" s="60"/>
      <c r="B371" s="60"/>
      <c r="C371" s="61"/>
      <c r="D371" s="61"/>
      <c r="E371" s="34"/>
      <c r="F371" s="34"/>
      <c r="G371" s="34"/>
      <c r="H371" s="34"/>
      <c r="I371" s="34"/>
      <c r="J371" s="34"/>
    </row>
    <row r="372" spans="1:10">
      <c r="A372" s="60"/>
      <c r="B372" s="60"/>
      <c r="C372" s="61"/>
      <c r="D372" s="61"/>
      <c r="E372" s="34"/>
      <c r="F372" s="34"/>
      <c r="G372" s="34"/>
      <c r="H372" s="34"/>
      <c r="I372" s="34"/>
      <c r="J372" s="34"/>
    </row>
    <row r="373" spans="1:10">
      <c r="A373" s="60"/>
      <c r="B373" s="60"/>
      <c r="C373" s="61"/>
      <c r="D373" s="61"/>
      <c r="E373" s="34"/>
      <c r="F373" s="34"/>
      <c r="G373" s="34"/>
      <c r="H373" s="34"/>
      <c r="I373" s="34"/>
      <c r="J373" s="34"/>
    </row>
    <row r="374" spans="1:10">
      <c r="A374" s="60"/>
      <c r="B374" s="60"/>
      <c r="C374" s="61"/>
      <c r="D374" s="61"/>
      <c r="E374" s="34"/>
      <c r="F374" s="34"/>
      <c r="G374" s="34"/>
      <c r="H374" s="34"/>
      <c r="I374" s="34"/>
      <c r="J374" s="34"/>
    </row>
    <row r="375" spans="1:10">
      <c r="A375" s="60"/>
      <c r="B375" s="60"/>
      <c r="C375" s="61"/>
      <c r="D375" s="61"/>
      <c r="E375" s="34"/>
      <c r="F375" s="34"/>
      <c r="G375" s="34"/>
      <c r="H375" s="34"/>
      <c r="I375" s="34"/>
      <c r="J375" s="34"/>
    </row>
    <row r="376" spans="1:10">
      <c r="A376" s="60"/>
      <c r="B376" s="60"/>
      <c r="C376" s="61"/>
      <c r="D376" s="61"/>
      <c r="E376" s="34"/>
      <c r="F376" s="34"/>
      <c r="G376" s="34"/>
      <c r="H376" s="34"/>
      <c r="I376" s="34"/>
      <c r="J376" s="34"/>
    </row>
    <row r="377" spans="1:10">
      <c r="A377" s="60"/>
      <c r="B377" s="60"/>
      <c r="C377" s="61"/>
      <c r="D377" s="61"/>
      <c r="E377" s="34"/>
      <c r="F377" s="34"/>
      <c r="G377" s="34"/>
      <c r="H377" s="34"/>
      <c r="I377" s="34"/>
      <c r="J377" s="34"/>
    </row>
    <row r="378" spans="1:10">
      <c r="A378" s="60"/>
      <c r="B378" s="60"/>
      <c r="C378" s="61"/>
      <c r="D378" s="61"/>
      <c r="E378" s="34"/>
      <c r="F378" s="34"/>
      <c r="G378" s="34"/>
      <c r="H378" s="34"/>
      <c r="I378" s="34"/>
      <c r="J378" s="34"/>
    </row>
    <row r="379" spans="1:10">
      <c r="A379" s="60"/>
      <c r="B379" s="60"/>
      <c r="C379" s="61"/>
      <c r="D379" s="61"/>
      <c r="E379" s="34"/>
      <c r="F379" s="34"/>
      <c r="G379" s="34"/>
      <c r="H379" s="34"/>
      <c r="I379" s="34"/>
      <c r="J379" s="34"/>
    </row>
    <row r="380" spans="1:10">
      <c r="A380" s="60"/>
      <c r="B380" s="60"/>
      <c r="C380" s="61"/>
      <c r="D380" s="61"/>
      <c r="E380" s="34"/>
      <c r="F380" s="34"/>
      <c r="G380" s="34"/>
      <c r="H380" s="34"/>
      <c r="I380" s="34"/>
      <c r="J380" s="34"/>
    </row>
    <row r="381" spans="1:10">
      <c r="A381" s="60"/>
      <c r="B381" s="60"/>
      <c r="C381" s="61"/>
      <c r="D381" s="61"/>
      <c r="E381" s="34"/>
      <c r="F381" s="34"/>
      <c r="G381" s="34"/>
      <c r="H381" s="34"/>
      <c r="I381" s="34"/>
      <c r="J381" s="34"/>
    </row>
    <row r="382" spans="1:10">
      <c r="A382" s="60"/>
      <c r="B382" s="60"/>
      <c r="C382" s="61"/>
      <c r="D382" s="61"/>
      <c r="E382" s="34"/>
      <c r="F382" s="34"/>
      <c r="G382" s="34"/>
      <c r="H382" s="34"/>
      <c r="I382" s="34"/>
      <c r="J382" s="34"/>
    </row>
    <row r="383" spans="1:10">
      <c r="A383" s="60"/>
      <c r="B383" s="60"/>
      <c r="C383" s="61"/>
      <c r="D383" s="61"/>
      <c r="E383" s="34"/>
      <c r="F383" s="34"/>
      <c r="G383" s="34"/>
      <c r="H383" s="34"/>
      <c r="I383" s="34"/>
      <c r="J383" s="34"/>
    </row>
    <row r="384" spans="1:10">
      <c r="A384" s="60"/>
      <c r="B384" s="60"/>
      <c r="C384" s="61"/>
      <c r="D384" s="61"/>
      <c r="E384" s="34"/>
      <c r="F384" s="34"/>
      <c r="G384" s="34"/>
      <c r="H384" s="34"/>
      <c r="I384" s="34"/>
      <c r="J384" s="34"/>
    </row>
    <row r="385" spans="1:10">
      <c r="A385" s="60"/>
      <c r="B385" s="60"/>
      <c r="C385" s="61"/>
      <c r="D385" s="61"/>
      <c r="E385" s="34"/>
      <c r="F385" s="34"/>
      <c r="G385" s="34"/>
      <c r="H385" s="34"/>
      <c r="I385" s="34"/>
      <c r="J385" s="34"/>
    </row>
    <row r="386" spans="1:10">
      <c r="A386" s="60"/>
      <c r="B386" s="60"/>
      <c r="C386" s="61"/>
      <c r="D386" s="61"/>
      <c r="E386" s="34"/>
      <c r="F386" s="34"/>
      <c r="G386" s="34"/>
      <c r="H386" s="34"/>
      <c r="I386" s="34"/>
      <c r="J386" s="34"/>
    </row>
    <row r="387" spans="1:10">
      <c r="A387" s="60"/>
      <c r="B387" s="60"/>
      <c r="C387" s="61"/>
      <c r="D387" s="61"/>
      <c r="E387" s="34"/>
      <c r="F387" s="34"/>
      <c r="G387" s="34"/>
      <c r="H387" s="34"/>
      <c r="I387" s="34"/>
      <c r="J387" s="34"/>
    </row>
    <row r="388" spans="1:10">
      <c r="A388" s="60"/>
      <c r="B388" s="60"/>
      <c r="C388" s="61"/>
      <c r="D388" s="61"/>
      <c r="E388" s="34"/>
      <c r="F388" s="34"/>
      <c r="G388" s="34"/>
      <c r="H388" s="34"/>
      <c r="I388" s="34"/>
      <c r="J388" s="34"/>
    </row>
    <row r="389" spans="1:10">
      <c r="A389" s="60"/>
      <c r="B389" s="60"/>
      <c r="C389" s="61"/>
      <c r="D389" s="61"/>
      <c r="E389" s="34"/>
      <c r="F389" s="34"/>
      <c r="G389" s="34"/>
      <c r="H389" s="34"/>
      <c r="I389" s="34"/>
      <c r="J389" s="34"/>
    </row>
    <row r="390" spans="1:10">
      <c r="A390" s="60"/>
      <c r="B390" s="60"/>
      <c r="C390" s="61"/>
      <c r="D390" s="61"/>
      <c r="E390" s="34"/>
      <c r="F390" s="34"/>
      <c r="G390" s="34"/>
      <c r="H390" s="34"/>
      <c r="I390" s="34"/>
      <c r="J390" s="34"/>
    </row>
    <row r="391" spans="1:10">
      <c r="A391" s="60"/>
      <c r="B391" s="60"/>
      <c r="C391" s="61"/>
      <c r="D391" s="61"/>
      <c r="E391" s="34"/>
      <c r="F391" s="34"/>
      <c r="G391" s="34"/>
      <c r="H391" s="34"/>
      <c r="I391" s="34"/>
      <c r="J391" s="34"/>
    </row>
    <row r="392" spans="1:10">
      <c r="A392" s="60"/>
      <c r="B392" s="60"/>
      <c r="C392" s="61"/>
      <c r="D392" s="61"/>
      <c r="E392" s="34"/>
      <c r="F392" s="34"/>
      <c r="G392" s="34"/>
      <c r="H392" s="34"/>
      <c r="I392" s="34"/>
      <c r="J392" s="34"/>
    </row>
    <row r="393" spans="1:10">
      <c r="A393" s="60"/>
      <c r="B393" s="60"/>
      <c r="C393" s="61"/>
      <c r="D393" s="61"/>
      <c r="E393" s="34"/>
      <c r="F393" s="34"/>
      <c r="G393" s="34"/>
      <c r="H393" s="34"/>
      <c r="I393" s="34"/>
      <c r="J393" s="34"/>
    </row>
    <row r="394" spans="1:10">
      <c r="A394" s="60"/>
      <c r="B394" s="60"/>
      <c r="C394" s="61"/>
      <c r="D394" s="61"/>
      <c r="E394" s="34"/>
      <c r="F394" s="34"/>
      <c r="G394" s="34"/>
      <c r="H394" s="34"/>
      <c r="I394" s="34"/>
      <c r="J394" s="34"/>
    </row>
    <row r="395" spans="1:10">
      <c r="A395" s="60"/>
      <c r="B395" s="60"/>
      <c r="C395" s="61"/>
      <c r="D395" s="61"/>
      <c r="E395" s="34"/>
      <c r="F395" s="34"/>
      <c r="G395" s="34"/>
      <c r="H395" s="34"/>
      <c r="I395" s="34"/>
      <c r="J395" s="34"/>
    </row>
    <row r="396" spans="1:10">
      <c r="A396" s="60"/>
      <c r="B396" s="60"/>
      <c r="C396" s="61"/>
      <c r="D396" s="61"/>
      <c r="E396" s="34"/>
      <c r="F396" s="34"/>
      <c r="G396" s="34"/>
      <c r="H396" s="34"/>
      <c r="I396" s="34"/>
      <c r="J396" s="34"/>
    </row>
    <row r="397" spans="1:10">
      <c r="A397" s="60"/>
      <c r="B397" s="60"/>
      <c r="C397" s="61"/>
      <c r="D397" s="61"/>
      <c r="E397" s="34"/>
      <c r="F397" s="34"/>
      <c r="G397" s="34"/>
      <c r="H397" s="34"/>
      <c r="I397" s="34"/>
      <c r="J397" s="34"/>
    </row>
    <row r="398" spans="1:10">
      <c r="A398" s="60"/>
      <c r="B398" s="60"/>
      <c r="C398" s="61"/>
      <c r="D398" s="61"/>
      <c r="E398" s="34"/>
      <c r="F398" s="34"/>
      <c r="G398" s="34"/>
      <c r="H398" s="34"/>
      <c r="I398" s="34"/>
      <c r="J398" s="34"/>
    </row>
    <row r="399" spans="1:10">
      <c r="A399" s="60"/>
      <c r="B399" s="60"/>
      <c r="C399" s="61"/>
      <c r="D399" s="61"/>
      <c r="E399" s="34"/>
      <c r="F399" s="34"/>
      <c r="G399" s="34"/>
      <c r="H399" s="34"/>
      <c r="I399" s="34"/>
      <c r="J399" s="34"/>
    </row>
    <row r="400" spans="1:10">
      <c r="A400" s="60"/>
      <c r="B400" s="60"/>
      <c r="C400" s="61"/>
      <c r="D400" s="61"/>
      <c r="E400" s="34"/>
      <c r="F400" s="34"/>
      <c r="G400" s="34"/>
      <c r="H400" s="34"/>
      <c r="I400" s="34"/>
      <c r="J400" s="34"/>
    </row>
    <row r="401" spans="1:10">
      <c r="A401" s="60"/>
      <c r="B401" s="60"/>
      <c r="C401" s="61"/>
      <c r="D401" s="61"/>
      <c r="E401" s="34"/>
      <c r="F401" s="34"/>
      <c r="G401" s="34"/>
      <c r="H401" s="34"/>
      <c r="I401" s="34"/>
      <c r="J401" s="34"/>
    </row>
    <row r="402" spans="1:10">
      <c r="A402" s="60"/>
      <c r="B402" s="60"/>
      <c r="C402" s="61"/>
      <c r="D402" s="61"/>
      <c r="E402" s="34"/>
      <c r="F402" s="34"/>
      <c r="G402" s="34"/>
      <c r="H402" s="34"/>
      <c r="I402" s="34"/>
      <c r="J402" s="34"/>
    </row>
    <row r="403" spans="1:10">
      <c r="A403" s="60"/>
      <c r="B403" s="60"/>
      <c r="C403" s="61"/>
      <c r="D403" s="61"/>
      <c r="E403" s="34"/>
      <c r="F403" s="34"/>
      <c r="G403" s="34"/>
      <c r="H403" s="34"/>
      <c r="I403" s="34"/>
      <c r="J403" s="34"/>
    </row>
    <row r="404" spans="1:10">
      <c r="A404" s="60"/>
      <c r="B404" s="60"/>
      <c r="C404" s="61"/>
      <c r="D404" s="61"/>
      <c r="E404" s="34"/>
      <c r="F404" s="34"/>
      <c r="G404" s="34"/>
      <c r="H404" s="34"/>
      <c r="I404" s="34"/>
      <c r="J404" s="34"/>
    </row>
    <row r="405" spans="1:10">
      <c r="A405" s="60"/>
      <c r="B405" s="60"/>
      <c r="C405" s="61"/>
      <c r="D405" s="61"/>
      <c r="E405" s="34"/>
      <c r="F405" s="34"/>
      <c r="G405" s="34"/>
      <c r="H405" s="34"/>
      <c r="I405" s="34"/>
      <c r="J405" s="34"/>
    </row>
    <row r="406" spans="1:10">
      <c r="A406" s="60"/>
      <c r="B406" s="60"/>
      <c r="C406" s="61"/>
      <c r="D406" s="61"/>
      <c r="E406" s="34"/>
      <c r="F406" s="34"/>
      <c r="G406" s="34"/>
      <c r="H406" s="34"/>
      <c r="I406" s="34"/>
      <c r="J406" s="34"/>
    </row>
    <row r="407" spans="1:10">
      <c r="A407" s="60"/>
      <c r="B407" s="60"/>
      <c r="C407" s="61"/>
      <c r="D407" s="61"/>
      <c r="E407" s="34"/>
      <c r="F407" s="34"/>
      <c r="G407" s="34"/>
      <c r="H407" s="34"/>
      <c r="I407" s="34"/>
      <c r="J407" s="34"/>
    </row>
    <row r="408" spans="1:10">
      <c r="A408" s="60"/>
      <c r="B408" s="60"/>
      <c r="C408" s="61"/>
      <c r="D408" s="61"/>
      <c r="E408" s="34"/>
      <c r="F408" s="34"/>
      <c r="G408" s="34"/>
      <c r="H408" s="34"/>
      <c r="I408" s="34"/>
      <c r="J408" s="34"/>
    </row>
    <row r="409" spans="1:10">
      <c r="A409" s="60"/>
      <c r="B409" s="60"/>
      <c r="C409" s="61"/>
      <c r="D409" s="61"/>
      <c r="E409" s="34"/>
      <c r="F409" s="34"/>
      <c r="G409" s="34"/>
      <c r="H409" s="34"/>
      <c r="I409" s="34"/>
      <c r="J409" s="34"/>
    </row>
    <row r="410" spans="1:10">
      <c r="A410" s="60"/>
      <c r="B410" s="60"/>
      <c r="C410" s="61"/>
      <c r="D410" s="61"/>
      <c r="E410" s="34"/>
      <c r="F410" s="34"/>
      <c r="G410" s="34"/>
      <c r="H410" s="34"/>
      <c r="I410" s="34"/>
      <c r="J410" s="34"/>
    </row>
    <row r="411" spans="1:10">
      <c r="A411" s="60"/>
      <c r="B411" s="60"/>
      <c r="C411" s="61"/>
      <c r="D411" s="61"/>
      <c r="E411" s="34"/>
      <c r="F411" s="34"/>
      <c r="G411" s="34"/>
      <c r="H411" s="34"/>
      <c r="I411" s="34"/>
      <c r="J411" s="34"/>
    </row>
    <row r="412" spans="1:10">
      <c r="A412" s="60"/>
      <c r="B412" s="60"/>
      <c r="C412" s="61"/>
      <c r="D412" s="61"/>
      <c r="E412" s="34"/>
      <c r="F412" s="34"/>
      <c r="G412" s="34"/>
      <c r="H412" s="34"/>
      <c r="I412" s="34"/>
      <c r="J412" s="34"/>
    </row>
    <row r="413" spans="1:10">
      <c r="A413" s="60"/>
      <c r="B413" s="60"/>
      <c r="C413" s="61"/>
      <c r="D413" s="61"/>
      <c r="E413" s="34"/>
      <c r="F413" s="34"/>
      <c r="G413" s="34"/>
      <c r="H413" s="34"/>
      <c r="I413" s="34"/>
      <c r="J413" s="34"/>
    </row>
    <row r="414" spans="1:10">
      <c r="A414" s="60"/>
      <c r="B414" s="60"/>
      <c r="C414" s="61"/>
      <c r="D414" s="61"/>
      <c r="E414" s="34"/>
      <c r="F414" s="34"/>
      <c r="G414" s="34"/>
      <c r="H414" s="34"/>
      <c r="I414" s="34"/>
      <c r="J414" s="34"/>
    </row>
    <row r="415" spans="1:10">
      <c r="A415" s="60"/>
      <c r="B415" s="60"/>
      <c r="C415" s="61"/>
      <c r="D415" s="61"/>
      <c r="E415" s="34"/>
      <c r="F415" s="34"/>
      <c r="G415" s="34"/>
      <c r="H415" s="34"/>
      <c r="I415" s="34"/>
      <c r="J415" s="34"/>
    </row>
    <row r="416" spans="1:10">
      <c r="A416" s="60"/>
      <c r="B416" s="60"/>
      <c r="C416" s="61"/>
      <c r="D416" s="61"/>
      <c r="E416" s="34"/>
      <c r="F416" s="34"/>
      <c r="G416" s="34"/>
      <c r="H416" s="34"/>
      <c r="I416" s="34"/>
      <c r="J416" s="34"/>
    </row>
    <row r="417" spans="1:10">
      <c r="A417" s="60"/>
      <c r="B417" s="60"/>
      <c r="C417" s="61"/>
      <c r="D417" s="61"/>
      <c r="E417" s="34"/>
      <c r="F417" s="34"/>
      <c r="G417" s="34"/>
      <c r="H417" s="34"/>
      <c r="I417" s="34"/>
      <c r="J417" s="34"/>
    </row>
    <row r="418" spans="1:10">
      <c r="A418" s="60"/>
      <c r="B418" s="60"/>
      <c r="C418" s="61"/>
      <c r="D418" s="61"/>
      <c r="E418" s="34"/>
      <c r="F418" s="34"/>
      <c r="G418" s="34"/>
      <c r="H418" s="34"/>
      <c r="I418" s="34"/>
      <c r="J418" s="34"/>
    </row>
    <row r="419" spans="1:10">
      <c r="A419" s="60"/>
      <c r="B419" s="60"/>
      <c r="C419" s="61"/>
      <c r="D419" s="61"/>
      <c r="E419" s="34"/>
      <c r="F419" s="34"/>
      <c r="G419" s="34"/>
      <c r="H419" s="34"/>
      <c r="I419" s="34"/>
      <c r="J419" s="34"/>
    </row>
    <row r="420" spans="1:10">
      <c r="A420" s="60"/>
      <c r="B420" s="60"/>
      <c r="C420" s="61"/>
      <c r="D420" s="61"/>
      <c r="E420" s="34"/>
      <c r="F420" s="34"/>
      <c r="G420" s="34"/>
      <c r="H420" s="34"/>
      <c r="I420" s="34"/>
      <c r="J420" s="34"/>
    </row>
    <row r="421" spans="1:10">
      <c r="A421" s="60"/>
      <c r="B421" s="60"/>
      <c r="C421" s="61"/>
      <c r="D421" s="61"/>
      <c r="E421" s="34"/>
      <c r="F421" s="34"/>
      <c r="G421" s="34"/>
      <c r="H421" s="34"/>
      <c r="I421" s="34"/>
      <c r="J421" s="34"/>
    </row>
    <row r="422" spans="1:10">
      <c r="A422" s="60"/>
      <c r="B422" s="60"/>
      <c r="C422" s="61"/>
      <c r="D422" s="61"/>
      <c r="E422" s="34"/>
      <c r="F422" s="34"/>
      <c r="G422" s="34"/>
      <c r="H422" s="34"/>
      <c r="I422" s="34"/>
      <c r="J422" s="34"/>
    </row>
    <row r="423" spans="1:10">
      <c r="A423" s="60"/>
      <c r="B423" s="60"/>
      <c r="C423" s="61"/>
      <c r="D423" s="61"/>
      <c r="E423" s="34"/>
      <c r="F423" s="34"/>
      <c r="G423" s="34"/>
      <c r="H423" s="34"/>
      <c r="I423" s="34"/>
      <c r="J423" s="34"/>
    </row>
    <row r="424" spans="1:10">
      <c r="A424" s="60"/>
      <c r="B424" s="60"/>
      <c r="C424" s="61"/>
      <c r="D424" s="61"/>
      <c r="E424" s="34"/>
      <c r="F424" s="34"/>
      <c r="G424" s="34"/>
      <c r="H424" s="34"/>
      <c r="I424" s="34"/>
      <c r="J424" s="34"/>
    </row>
    <row r="425" spans="1:10">
      <c r="A425" s="60"/>
      <c r="B425" s="60"/>
      <c r="C425" s="61"/>
      <c r="D425" s="61"/>
      <c r="E425" s="34"/>
      <c r="F425" s="34"/>
      <c r="G425" s="34"/>
      <c r="H425" s="34"/>
      <c r="I425" s="34"/>
      <c r="J425" s="34"/>
    </row>
    <row r="426" spans="1:10">
      <c r="A426" s="60"/>
      <c r="B426" s="60"/>
      <c r="C426" s="61"/>
      <c r="D426" s="61"/>
      <c r="E426" s="34"/>
      <c r="F426" s="34"/>
      <c r="G426" s="34"/>
      <c r="H426" s="34"/>
      <c r="I426" s="34"/>
      <c r="J426" s="34"/>
    </row>
    <row r="427" spans="1:10">
      <c r="A427" s="60"/>
      <c r="B427" s="60"/>
      <c r="C427" s="61"/>
      <c r="D427" s="61"/>
      <c r="E427" s="34"/>
      <c r="F427" s="34"/>
      <c r="G427" s="34"/>
      <c r="H427" s="34"/>
      <c r="I427" s="34"/>
      <c r="J427" s="34"/>
    </row>
    <row r="428" spans="1:10">
      <c r="A428" s="60"/>
      <c r="B428" s="60"/>
      <c r="C428" s="61"/>
      <c r="D428" s="61"/>
      <c r="E428" s="34"/>
      <c r="F428" s="34"/>
      <c r="G428" s="34"/>
      <c r="H428" s="34"/>
      <c r="I428" s="34"/>
      <c r="J428" s="34"/>
    </row>
    <row r="429" spans="1:10">
      <c r="A429" s="60"/>
      <c r="B429" s="60"/>
      <c r="C429" s="61"/>
      <c r="D429" s="61"/>
      <c r="E429" s="34"/>
      <c r="F429" s="34"/>
      <c r="G429" s="34"/>
      <c r="H429" s="34"/>
      <c r="I429" s="34"/>
      <c r="J429" s="34"/>
    </row>
    <row r="430" spans="1:10">
      <c r="A430" s="60"/>
      <c r="B430" s="60"/>
      <c r="C430" s="61"/>
      <c r="D430" s="61"/>
      <c r="E430" s="34"/>
      <c r="F430" s="34"/>
      <c r="G430" s="34"/>
      <c r="H430" s="34"/>
      <c r="I430" s="34"/>
      <c r="J430" s="34"/>
    </row>
    <row r="431" spans="1:10">
      <c r="A431" s="60"/>
      <c r="B431" s="60"/>
      <c r="C431" s="61"/>
      <c r="D431" s="61"/>
      <c r="E431" s="34"/>
      <c r="F431" s="34"/>
      <c r="G431" s="34"/>
      <c r="H431" s="34"/>
      <c r="I431" s="34"/>
      <c r="J431" s="34"/>
    </row>
    <row r="432" spans="1:10">
      <c r="A432" s="60"/>
      <c r="B432" s="60"/>
      <c r="C432" s="61"/>
      <c r="D432" s="61"/>
      <c r="E432" s="34"/>
      <c r="F432" s="34"/>
      <c r="G432" s="34"/>
      <c r="H432" s="34"/>
      <c r="I432" s="34"/>
      <c r="J432" s="34"/>
    </row>
    <row r="433" spans="1:10">
      <c r="A433" s="60"/>
      <c r="B433" s="60"/>
      <c r="C433" s="61"/>
      <c r="D433" s="61"/>
      <c r="E433" s="34"/>
      <c r="F433" s="34"/>
      <c r="G433" s="34"/>
      <c r="H433" s="34"/>
      <c r="I433" s="34"/>
      <c r="J433" s="34"/>
    </row>
    <row r="434" spans="1:10">
      <c r="A434" s="60"/>
      <c r="B434" s="60"/>
      <c r="C434" s="61"/>
      <c r="D434" s="61"/>
      <c r="E434" s="34"/>
      <c r="F434" s="34"/>
      <c r="G434" s="34"/>
      <c r="H434" s="34"/>
      <c r="I434" s="34"/>
      <c r="J434" s="34"/>
    </row>
    <row r="435" spans="1:10">
      <c r="A435" s="60"/>
      <c r="B435" s="60"/>
      <c r="C435" s="61"/>
      <c r="D435" s="61"/>
      <c r="E435" s="34"/>
      <c r="F435" s="34"/>
      <c r="G435" s="34"/>
      <c r="H435" s="34"/>
      <c r="I435" s="34"/>
      <c r="J435" s="34"/>
    </row>
    <row r="436" spans="1:10">
      <c r="A436" s="60"/>
      <c r="B436" s="60"/>
      <c r="C436" s="61"/>
      <c r="D436" s="61"/>
      <c r="E436" s="34"/>
      <c r="F436" s="34"/>
      <c r="G436" s="34"/>
      <c r="H436" s="34"/>
      <c r="I436" s="34"/>
      <c r="J436" s="34"/>
    </row>
    <row r="437" spans="1:10">
      <c r="A437" s="60"/>
      <c r="B437" s="60"/>
      <c r="C437" s="61"/>
      <c r="D437" s="61"/>
      <c r="E437" s="34"/>
      <c r="F437" s="34"/>
      <c r="G437" s="34"/>
      <c r="H437" s="34"/>
      <c r="I437" s="34"/>
      <c r="J437" s="34"/>
    </row>
    <row r="438" spans="1:10">
      <c r="A438" s="60"/>
      <c r="B438" s="60"/>
      <c r="C438" s="61"/>
      <c r="D438" s="61"/>
      <c r="E438" s="34"/>
      <c r="F438" s="34"/>
      <c r="G438" s="34"/>
      <c r="H438" s="34"/>
      <c r="I438" s="34"/>
      <c r="J438" s="34"/>
    </row>
    <row r="439" spans="1:10">
      <c r="A439" s="60"/>
      <c r="B439" s="60"/>
      <c r="C439" s="61"/>
      <c r="D439" s="61"/>
      <c r="E439" s="34"/>
      <c r="F439" s="34"/>
      <c r="G439" s="34"/>
      <c r="H439" s="34"/>
      <c r="I439" s="34"/>
      <c r="J439" s="34"/>
    </row>
    <row r="440" spans="1:10">
      <c r="A440" s="60"/>
      <c r="B440" s="60"/>
      <c r="C440" s="61"/>
      <c r="D440" s="61"/>
      <c r="E440" s="34"/>
      <c r="F440" s="34"/>
      <c r="G440" s="34"/>
      <c r="H440" s="34"/>
      <c r="I440" s="34"/>
      <c r="J440" s="34"/>
    </row>
    <row r="441" spans="1:10">
      <c r="A441" s="60"/>
      <c r="B441" s="60"/>
      <c r="C441" s="61"/>
      <c r="D441" s="61"/>
      <c r="E441" s="34"/>
      <c r="F441" s="34"/>
      <c r="G441" s="34"/>
      <c r="H441" s="34"/>
      <c r="I441" s="34"/>
      <c r="J441" s="34"/>
    </row>
    <row r="442" spans="1:10">
      <c r="A442" s="60"/>
      <c r="B442" s="60"/>
      <c r="C442" s="61"/>
      <c r="D442" s="61"/>
      <c r="E442" s="34"/>
      <c r="F442" s="34"/>
      <c r="G442" s="34"/>
      <c r="H442" s="34"/>
      <c r="I442" s="34"/>
      <c r="J442" s="34"/>
    </row>
    <row r="443" spans="1:10">
      <c r="A443" s="60"/>
      <c r="B443" s="60"/>
      <c r="C443" s="61"/>
      <c r="D443" s="61"/>
      <c r="E443" s="34"/>
      <c r="F443" s="34"/>
      <c r="G443" s="34"/>
      <c r="H443" s="34"/>
      <c r="I443" s="34"/>
      <c r="J443" s="34"/>
    </row>
    <row r="444" spans="1:10">
      <c r="A444" s="60"/>
      <c r="B444" s="60"/>
      <c r="C444" s="61"/>
      <c r="D444" s="61"/>
      <c r="E444" s="34"/>
      <c r="F444" s="34"/>
      <c r="G444" s="34"/>
      <c r="H444" s="34"/>
      <c r="I444" s="34"/>
      <c r="J444" s="34"/>
    </row>
    <row r="445" spans="1:10">
      <c r="A445" s="60"/>
      <c r="B445" s="60"/>
      <c r="C445" s="61"/>
      <c r="D445" s="61"/>
      <c r="E445" s="34"/>
      <c r="F445" s="34"/>
      <c r="G445" s="34"/>
      <c r="H445" s="34"/>
      <c r="I445" s="34"/>
      <c r="J445" s="34"/>
    </row>
    <row r="446" spans="1:10">
      <c r="A446" s="60"/>
      <c r="B446" s="60"/>
      <c r="C446" s="61"/>
      <c r="D446" s="61"/>
      <c r="E446" s="34"/>
      <c r="F446" s="34"/>
      <c r="G446" s="34"/>
      <c r="H446" s="34"/>
      <c r="I446" s="34"/>
      <c r="J446" s="34"/>
    </row>
    <row r="447" spans="1:10">
      <c r="A447" s="60"/>
      <c r="B447" s="60"/>
      <c r="C447" s="61"/>
      <c r="D447" s="61"/>
      <c r="E447" s="34"/>
      <c r="F447" s="34"/>
      <c r="G447" s="34"/>
      <c r="H447" s="34"/>
      <c r="I447" s="34"/>
      <c r="J447" s="34"/>
    </row>
    <row r="448" spans="1:10">
      <c r="A448" s="60"/>
      <c r="B448" s="60"/>
      <c r="C448" s="61"/>
      <c r="D448" s="61"/>
      <c r="E448" s="34"/>
      <c r="F448" s="34"/>
      <c r="G448" s="34"/>
      <c r="H448" s="34"/>
      <c r="I448" s="34"/>
      <c r="J448" s="34"/>
    </row>
    <row r="449" spans="1:10">
      <c r="A449" s="60"/>
      <c r="B449" s="60"/>
      <c r="C449" s="61"/>
      <c r="D449" s="61"/>
      <c r="E449" s="34"/>
      <c r="F449" s="34"/>
      <c r="G449" s="34"/>
      <c r="H449" s="34"/>
      <c r="I449" s="34"/>
      <c r="J449" s="34"/>
    </row>
  </sheetData>
  <autoFilter ref="A2:XED2" xr:uid="{00000000-0009-0000-0000-000008000000}">
    <sortState xmlns:xlrd2="http://schemas.microsoft.com/office/spreadsheetml/2017/richdata2" ref="A3:XED268">
      <sortCondition ref="G2"/>
    </sortState>
  </autoFilter>
  <printOptions gridLines="1"/>
  <pageMargins left="0.7" right="0.7" top="0.75" bottom="0.75" header="0.3" footer="0.3"/>
  <pageSetup paperSize="9" scale="98" fitToHeight="0" orientation="landscape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800-000000000000}">
          <x14:formula1>
            <xm:f>GeneralMaster!$Y$3:$Y$500</xm:f>
          </x14:formula1>
          <xm:sqref>I450:I1000</xm:sqref>
        </x14:dataValidation>
        <x14:dataValidation type="list" allowBlank="1" showInputMessage="1" showErrorMessage="1" xr:uid="{00000000-0002-0000-0800-000001000000}">
          <x14:formula1>
            <xm:f>GeneralMaster!$AC$3:$AC$50</xm:f>
          </x14:formula1>
          <xm:sqref>J450:J1000</xm:sqref>
        </x14:dataValidation>
        <x14:dataValidation type="list" allowBlank="1" showInputMessage="1" showErrorMessage="1" xr:uid="{00000000-0002-0000-0800-000002000000}">
          <x14:formula1>
            <xm:f>AccountMaster!#REF!</xm:f>
          </x14:formula1>
          <xm:sqref>G450:G999</xm:sqref>
        </x14:dataValidation>
        <x14:dataValidation type="list" allowBlank="1" showInputMessage="1" showErrorMessage="1" xr:uid="{00000000-0002-0000-0800-000003000000}">
          <x14:formula1>
            <xm:f>GeneralMaster!$AA$3:$AA$949</xm:f>
          </x14:formula1>
          <xm:sqref>H450:H999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BB209"/>
  <sheetViews>
    <sheetView view="pageBreakPreview" zoomScaleNormal="100" zoomScaleSheetLayoutView="100" workbookViewId="0">
      <pane xSplit="3" ySplit="2" topLeftCell="AS3" activePane="bottomRight" state="frozen"/>
      <selection pane="topRight" activeCell="D1" sqref="D1"/>
      <selection pane="bottomLeft" activeCell="A3" sqref="A3"/>
      <selection pane="bottomRight" activeCell="AV11" sqref="AV11"/>
    </sheetView>
  </sheetViews>
  <sheetFormatPr defaultRowHeight="15" outlineLevelCol="1"/>
  <cols>
    <col min="1" max="1" width="28.7109375" style="72" bestFit="1" customWidth="1"/>
    <col min="2" max="2" width="26.7109375" style="72" bestFit="1" customWidth="1"/>
    <col min="3" max="3" width="21" style="72" bestFit="1" customWidth="1"/>
    <col min="4" max="4" width="10.140625" style="7" hidden="1" customWidth="1" outlineLevel="1"/>
    <col min="5" max="5" width="16.5703125" style="7" hidden="1" customWidth="1" outlineLevel="1"/>
    <col min="6" max="6" width="9.140625" style="7" hidden="1" customWidth="1" outlineLevel="1"/>
    <col min="7" max="7" width="8.42578125" style="7" bestFit="1" customWidth="1" collapsed="1"/>
    <col min="8" max="14" width="8.42578125" style="7" bestFit="1" customWidth="1"/>
    <col min="15" max="22" width="16.7109375" customWidth="1"/>
    <col min="23" max="30" width="16.5703125" bestFit="1" customWidth="1"/>
    <col min="31" max="38" width="15.5703125" bestFit="1" customWidth="1"/>
    <col min="39" max="46" width="12.28515625" bestFit="1" customWidth="1"/>
    <col min="47" max="47" width="11.85546875" bestFit="1" customWidth="1"/>
    <col min="48" max="48" width="12.28515625" bestFit="1" customWidth="1"/>
    <col min="49" max="49" width="11.85546875" bestFit="1" customWidth="1"/>
  </cols>
  <sheetData>
    <row r="1" spans="1:54" ht="34.5" customHeight="1">
      <c r="G1" s="75" t="s">
        <v>1102</v>
      </c>
      <c r="H1" s="75"/>
      <c r="I1" s="75"/>
      <c r="J1" s="75"/>
      <c r="K1" s="75"/>
      <c r="L1" s="75"/>
      <c r="M1" s="75"/>
      <c r="N1" s="75"/>
      <c r="O1" s="75" t="s">
        <v>1103</v>
      </c>
      <c r="P1" s="75"/>
      <c r="Q1" s="75"/>
      <c r="R1" s="75"/>
      <c r="S1" s="75"/>
      <c r="T1" s="75"/>
      <c r="U1" s="75"/>
      <c r="V1" s="75"/>
      <c r="W1" s="75" t="s">
        <v>1104</v>
      </c>
      <c r="X1" s="75"/>
      <c r="Y1" s="75"/>
      <c r="Z1" s="75"/>
      <c r="AA1" s="75"/>
      <c r="AB1" s="75"/>
      <c r="AC1" s="75"/>
      <c r="AD1" s="75"/>
      <c r="AE1" s="75" t="s">
        <v>1105</v>
      </c>
      <c r="AF1" s="75"/>
      <c r="AG1" s="75"/>
      <c r="AH1" s="75"/>
      <c r="AI1" s="75"/>
      <c r="AJ1" s="75"/>
      <c r="AK1" s="75"/>
      <c r="AL1" s="75"/>
      <c r="AM1" s="75" t="s">
        <v>1106</v>
      </c>
      <c r="AN1" s="75"/>
      <c r="AO1" s="75"/>
      <c r="AP1" s="75"/>
      <c r="AQ1" s="75"/>
      <c r="AR1" s="75"/>
      <c r="AS1" s="75"/>
      <c r="AT1" s="75"/>
      <c r="AU1" s="69" t="s">
        <v>940</v>
      </c>
      <c r="AV1" s="69" t="s">
        <v>941</v>
      </c>
      <c r="AW1" s="69" t="s">
        <v>942</v>
      </c>
      <c r="AX1" s="68"/>
      <c r="AY1" s="68"/>
      <c r="AZ1" s="68"/>
      <c r="BA1" s="68"/>
      <c r="BB1" s="68"/>
    </row>
    <row r="2" spans="1:54">
      <c r="A2" s="70" t="s">
        <v>127</v>
      </c>
      <c r="B2" s="71" t="s">
        <v>899</v>
      </c>
      <c r="C2" s="70" t="s">
        <v>128</v>
      </c>
      <c r="D2" s="67" t="s">
        <v>0</v>
      </c>
      <c r="E2" s="67" t="s">
        <v>899</v>
      </c>
      <c r="F2" s="67" t="s">
        <v>1</v>
      </c>
      <c r="G2" s="67" t="s">
        <v>900</v>
      </c>
      <c r="H2" s="67" t="s">
        <v>901</v>
      </c>
      <c r="I2" s="67" t="s">
        <v>902</v>
      </c>
      <c r="J2" s="67" t="s">
        <v>903</v>
      </c>
      <c r="K2" s="67" t="s">
        <v>904</v>
      </c>
      <c r="L2" s="67" t="s">
        <v>905</v>
      </c>
      <c r="M2" s="67" t="s">
        <v>906</v>
      </c>
      <c r="N2" s="67" t="s">
        <v>907</v>
      </c>
      <c r="O2" s="67" t="s">
        <v>908</v>
      </c>
      <c r="P2" s="67" t="s">
        <v>909</v>
      </c>
      <c r="Q2" s="67" t="s">
        <v>910</v>
      </c>
      <c r="R2" s="67" t="s">
        <v>911</v>
      </c>
      <c r="S2" s="67" t="s">
        <v>912</v>
      </c>
      <c r="T2" s="67" t="s">
        <v>913</v>
      </c>
      <c r="U2" s="67" t="s">
        <v>914</v>
      </c>
      <c r="V2" s="67" t="s">
        <v>915</v>
      </c>
      <c r="W2" s="67" t="s">
        <v>916</v>
      </c>
      <c r="X2" s="67" t="s">
        <v>917</v>
      </c>
      <c r="Y2" s="67" t="s">
        <v>918</v>
      </c>
      <c r="Z2" s="67" t="s">
        <v>919</v>
      </c>
      <c r="AA2" s="67" t="s">
        <v>920</v>
      </c>
      <c r="AB2" s="67" t="s">
        <v>921</v>
      </c>
      <c r="AC2" s="67" t="s">
        <v>922</v>
      </c>
      <c r="AD2" s="67" t="s">
        <v>923</v>
      </c>
      <c r="AE2" s="67" t="s">
        <v>924</v>
      </c>
      <c r="AF2" s="67" t="s">
        <v>925</v>
      </c>
      <c r="AG2" s="67" t="s">
        <v>926</v>
      </c>
      <c r="AH2" s="67" t="s">
        <v>927</v>
      </c>
      <c r="AI2" s="67" t="s">
        <v>928</v>
      </c>
      <c r="AJ2" s="67" t="s">
        <v>929</v>
      </c>
      <c r="AK2" s="67" t="s">
        <v>930</v>
      </c>
      <c r="AL2" s="67" t="s">
        <v>931</v>
      </c>
      <c r="AM2" s="67" t="s">
        <v>932</v>
      </c>
      <c r="AN2" s="67" t="s">
        <v>933</v>
      </c>
      <c r="AO2" s="67" t="s">
        <v>934</v>
      </c>
      <c r="AP2" s="67" t="s">
        <v>935</v>
      </c>
      <c r="AQ2" s="67" t="s">
        <v>936</v>
      </c>
      <c r="AR2" s="67" t="s">
        <v>937</v>
      </c>
      <c r="AS2" s="67" t="s">
        <v>938</v>
      </c>
      <c r="AT2" s="67" t="s">
        <v>939</v>
      </c>
      <c r="AU2" s="67" t="s">
        <v>940</v>
      </c>
      <c r="AV2" s="67" t="s">
        <v>941</v>
      </c>
      <c r="AW2" s="67" t="s">
        <v>942</v>
      </c>
    </row>
    <row r="3" spans="1:54">
      <c r="A3" s="72" t="s">
        <v>964</v>
      </c>
      <c r="B3" s="72" t="s">
        <v>453</v>
      </c>
      <c r="C3" s="72" t="s">
        <v>305</v>
      </c>
      <c r="D3" s="7" t="s">
        <v>111</v>
      </c>
      <c r="E3" s="7" t="s">
        <v>452</v>
      </c>
      <c r="F3" s="7" t="s">
        <v>35</v>
      </c>
      <c r="G3" s="7">
        <v>999</v>
      </c>
      <c r="H3" s="7">
        <v>999</v>
      </c>
      <c r="I3" s="7">
        <v>999</v>
      </c>
      <c r="J3" s="7">
        <v>999</v>
      </c>
      <c r="K3" s="7">
        <v>999</v>
      </c>
      <c r="L3" s="7">
        <v>999</v>
      </c>
      <c r="M3" s="7">
        <v>999</v>
      </c>
      <c r="N3" s="7">
        <v>999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  <c r="AD3" s="7">
        <v>0</v>
      </c>
      <c r="AE3" s="7">
        <v>0</v>
      </c>
      <c r="AF3" s="7">
        <v>0</v>
      </c>
      <c r="AG3" s="7">
        <v>0</v>
      </c>
      <c r="AH3" s="7">
        <v>0</v>
      </c>
      <c r="AI3" s="7">
        <v>0</v>
      </c>
      <c r="AJ3" s="7">
        <v>0</v>
      </c>
      <c r="AK3" s="7">
        <v>0</v>
      </c>
      <c r="AL3" s="7">
        <v>0</v>
      </c>
      <c r="AM3" s="7">
        <v>0.8</v>
      </c>
      <c r="AN3" s="7">
        <v>0.8</v>
      </c>
      <c r="AO3" s="7">
        <v>0.8</v>
      </c>
      <c r="AP3" s="7">
        <v>0.8</v>
      </c>
      <c r="AQ3" s="7">
        <v>0.8</v>
      </c>
      <c r="AR3" s="7">
        <v>0.8</v>
      </c>
      <c r="AS3" s="7">
        <v>0.8</v>
      </c>
      <c r="AT3" s="7">
        <v>0.8</v>
      </c>
      <c r="AU3" s="7">
        <v>3</v>
      </c>
      <c r="AV3" s="7">
        <v>10</v>
      </c>
      <c r="AW3" s="7">
        <v>0</v>
      </c>
    </row>
    <row r="4" spans="1:54">
      <c r="A4" s="72" t="s">
        <v>964</v>
      </c>
      <c r="B4" s="72" t="s">
        <v>466</v>
      </c>
      <c r="C4" s="72" t="s">
        <v>305</v>
      </c>
      <c r="D4" s="7" t="s">
        <v>111</v>
      </c>
      <c r="E4" s="7" t="s">
        <v>465</v>
      </c>
      <c r="F4" s="7" t="s">
        <v>35</v>
      </c>
      <c r="G4" s="7">
        <v>12</v>
      </c>
      <c r="H4" s="7">
        <v>12</v>
      </c>
      <c r="I4" s="7">
        <v>12</v>
      </c>
      <c r="J4" s="7">
        <v>12</v>
      </c>
      <c r="K4" s="7">
        <v>12</v>
      </c>
      <c r="L4" s="7">
        <v>12</v>
      </c>
      <c r="M4" s="7">
        <v>12</v>
      </c>
      <c r="N4" s="7">
        <v>12</v>
      </c>
      <c r="O4" s="7">
        <v>105</v>
      </c>
      <c r="P4" s="7">
        <v>105</v>
      </c>
      <c r="Q4" s="7">
        <v>105</v>
      </c>
      <c r="R4" s="7">
        <v>105</v>
      </c>
      <c r="S4" s="7">
        <v>105</v>
      </c>
      <c r="T4" s="7">
        <v>105</v>
      </c>
      <c r="U4" s="7">
        <v>105</v>
      </c>
      <c r="V4" s="7">
        <v>105</v>
      </c>
      <c r="W4" s="7">
        <v>1800</v>
      </c>
      <c r="X4" s="7">
        <v>1800</v>
      </c>
      <c r="Y4" s="7">
        <v>1800</v>
      </c>
      <c r="Z4" s="7">
        <v>1800</v>
      </c>
      <c r="AA4" s="7">
        <v>1800</v>
      </c>
      <c r="AB4" s="7">
        <v>1800</v>
      </c>
      <c r="AC4" s="7">
        <v>1800</v>
      </c>
      <c r="AD4" s="7">
        <v>1800</v>
      </c>
      <c r="AE4" s="7">
        <v>0</v>
      </c>
      <c r="AF4" s="7">
        <v>0</v>
      </c>
      <c r="AG4" s="7">
        <v>0</v>
      </c>
      <c r="AH4" s="7">
        <v>0</v>
      </c>
      <c r="AI4" s="7">
        <v>0</v>
      </c>
      <c r="AJ4" s="7">
        <v>0</v>
      </c>
      <c r="AK4" s="7">
        <v>0</v>
      </c>
      <c r="AL4" s="7">
        <v>0</v>
      </c>
      <c r="AM4" s="7">
        <v>0</v>
      </c>
      <c r="AN4" s="7">
        <v>0</v>
      </c>
      <c r="AO4" s="7">
        <v>0</v>
      </c>
      <c r="AP4" s="7">
        <v>0</v>
      </c>
      <c r="AQ4" s="7">
        <v>0</v>
      </c>
      <c r="AR4" s="7">
        <v>0</v>
      </c>
      <c r="AS4" s="7">
        <v>0</v>
      </c>
      <c r="AT4" s="7">
        <v>0</v>
      </c>
      <c r="AU4" s="7">
        <v>3</v>
      </c>
      <c r="AV4" s="7">
        <v>10</v>
      </c>
      <c r="AW4" s="7">
        <v>0</v>
      </c>
    </row>
    <row r="5" spans="1:54">
      <c r="A5" s="72" t="s">
        <v>964</v>
      </c>
      <c r="B5" s="72" t="s">
        <v>466</v>
      </c>
      <c r="C5" s="72" t="s">
        <v>305</v>
      </c>
      <c r="D5" s="7" t="s">
        <v>111</v>
      </c>
      <c r="E5" s="7" t="s">
        <v>465</v>
      </c>
      <c r="F5" s="7" t="s">
        <v>35</v>
      </c>
      <c r="G5" s="7">
        <v>999</v>
      </c>
      <c r="H5" s="7">
        <v>999</v>
      </c>
      <c r="I5" s="7">
        <v>999</v>
      </c>
      <c r="J5" s="7">
        <v>999</v>
      </c>
      <c r="K5" s="7">
        <v>999</v>
      </c>
      <c r="L5" s="7">
        <v>999</v>
      </c>
      <c r="M5" s="7">
        <v>999</v>
      </c>
      <c r="N5" s="7">
        <v>999</v>
      </c>
      <c r="O5" s="7">
        <v>105</v>
      </c>
      <c r="P5" s="7">
        <v>105</v>
      </c>
      <c r="Q5" s="7">
        <v>105</v>
      </c>
      <c r="R5" s="7">
        <v>105</v>
      </c>
      <c r="S5" s="7">
        <v>105</v>
      </c>
      <c r="T5" s="7">
        <v>105</v>
      </c>
      <c r="U5" s="7">
        <v>105</v>
      </c>
      <c r="V5" s="7">
        <v>105</v>
      </c>
      <c r="W5" s="7">
        <v>600</v>
      </c>
      <c r="X5" s="7">
        <v>600</v>
      </c>
      <c r="Y5" s="7">
        <v>600</v>
      </c>
      <c r="Z5" s="7">
        <v>600</v>
      </c>
      <c r="AA5" s="7">
        <v>600</v>
      </c>
      <c r="AB5" s="7">
        <v>600</v>
      </c>
      <c r="AC5" s="7">
        <v>600</v>
      </c>
      <c r="AD5" s="7">
        <v>600</v>
      </c>
      <c r="AE5" s="7">
        <v>100</v>
      </c>
      <c r="AF5" s="7">
        <v>100</v>
      </c>
      <c r="AG5" s="7">
        <v>100</v>
      </c>
      <c r="AH5" s="7">
        <v>100</v>
      </c>
      <c r="AI5" s="7">
        <v>100</v>
      </c>
      <c r="AJ5" s="7">
        <v>100</v>
      </c>
      <c r="AK5" s="7">
        <v>100</v>
      </c>
      <c r="AL5" s="7">
        <v>100</v>
      </c>
      <c r="AM5" s="7">
        <v>0</v>
      </c>
      <c r="AN5" s="7">
        <v>0</v>
      </c>
      <c r="AO5" s="7">
        <v>0</v>
      </c>
      <c r="AP5" s="7">
        <v>0</v>
      </c>
      <c r="AQ5" s="7">
        <v>0</v>
      </c>
      <c r="AR5" s="7">
        <v>0</v>
      </c>
      <c r="AS5" s="7">
        <v>0</v>
      </c>
      <c r="AT5" s="7">
        <v>0</v>
      </c>
      <c r="AU5" s="7">
        <v>3</v>
      </c>
      <c r="AV5" s="7">
        <v>10</v>
      </c>
      <c r="AW5" s="7">
        <v>0</v>
      </c>
    </row>
    <row r="6" spans="1:54">
      <c r="A6" s="72" t="s">
        <v>964</v>
      </c>
      <c r="B6" s="72" t="s">
        <v>453</v>
      </c>
      <c r="C6" s="72" t="s">
        <v>306</v>
      </c>
      <c r="D6" s="7" t="s">
        <v>111</v>
      </c>
      <c r="E6" s="7" t="s">
        <v>452</v>
      </c>
      <c r="F6" s="7" t="s">
        <v>36</v>
      </c>
      <c r="G6" s="7">
        <v>999</v>
      </c>
      <c r="H6" s="7">
        <v>999</v>
      </c>
      <c r="I6" s="7">
        <v>999</v>
      </c>
      <c r="J6" s="7">
        <v>999</v>
      </c>
      <c r="K6" s="7">
        <v>999</v>
      </c>
      <c r="L6" s="7">
        <v>999</v>
      </c>
      <c r="M6" s="7">
        <v>999</v>
      </c>
      <c r="N6" s="7">
        <v>999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0</v>
      </c>
      <c r="Z6" s="7">
        <v>0</v>
      </c>
      <c r="AA6" s="7">
        <v>0</v>
      </c>
      <c r="AB6" s="7">
        <v>0</v>
      </c>
      <c r="AC6" s="7">
        <v>0</v>
      </c>
      <c r="AD6" s="7">
        <v>0</v>
      </c>
      <c r="AE6" s="7">
        <v>0</v>
      </c>
      <c r="AF6" s="7">
        <v>0</v>
      </c>
      <c r="AG6" s="7">
        <v>0</v>
      </c>
      <c r="AH6" s="7">
        <v>0</v>
      </c>
      <c r="AI6" s="7">
        <v>0</v>
      </c>
      <c r="AJ6" s="7">
        <v>0</v>
      </c>
      <c r="AK6" s="7">
        <v>0</v>
      </c>
      <c r="AL6" s="7">
        <v>0</v>
      </c>
      <c r="AM6" s="7">
        <v>0.9</v>
      </c>
      <c r="AN6" s="7">
        <v>0.9</v>
      </c>
      <c r="AO6" s="7">
        <v>0.9</v>
      </c>
      <c r="AP6" s="7">
        <v>0.9</v>
      </c>
      <c r="AQ6" s="7">
        <v>0.9</v>
      </c>
      <c r="AR6" s="7">
        <v>0.9</v>
      </c>
      <c r="AS6" s="7">
        <v>0.9</v>
      </c>
      <c r="AT6" s="7">
        <v>0.9</v>
      </c>
      <c r="AU6" s="7">
        <v>3</v>
      </c>
      <c r="AV6" s="7">
        <v>10</v>
      </c>
      <c r="AW6" s="7">
        <v>0</v>
      </c>
    </row>
    <row r="7" spans="1:54">
      <c r="A7" s="72" t="s">
        <v>972</v>
      </c>
      <c r="B7" s="72" t="s">
        <v>453</v>
      </c>
      <c r="C7" s="72" t="s">
        <v>305</v>
      </c>
      <c r="D7" s="7" t="s">
        <v>96</v>
      </c>
      <c r="E7" s="7" t="s">
        <v>452</v>
      </c>
      <c r="F7" s="7" t="s">
        <v>35</v>
      </c>
      <c r="G7" s="7">
        <v>0</v>
      </c>
      <c r="H7" s="7">
        <v>0</v>
      </c>
      <c r="I7" s="7">
        <v>5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0</v>
      </c>
      <c r="Z7" s="7">
        <v>0</v>
      </c>
      <c r="AA7" s="7">
        <v>0</v>
      </c>
      <c r="AB7" s="7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7">
        <v>0</v>
      </c>
      <c r="AI7" s="7">
        <v>0</v>
      </c>
      <c r="AJ7" s="7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">
        <v>0</v>
      </c>
      <c r="AQ7" s="7">
        <v>0</v>
      </c>
      <c r="AR7" s="7">
        <v>0</v>
      </c>
      <c r="AS7" s="7">
        <v>0</v>
      </c>
      <c r="AT7" s="7">
        <v>0</v>
      </c>
      <c r="AU7" s="7">
        <v>0</v>
      </c>
      <c r="AV7" s="7">
        <v>0</v>
      </c>
      <c r="AW7" s="7">
        <v>0</v>
      </c>
    </row>
    <row r="8" spans="1:54">
      <c r="A8" s="72" t="s">
        <v>964</v>
      </c>
      <c r="B8" s="72" t="s">
        <v>466</v>
      </c>
      <c r="C8" s="72" t="s">
        <v>306</v>
      </c>
      <c r="D8" s="7" t="s">
        <v>111</v>
      </c>
      <c r="E8" s="7" t="s">
        <v>465</v>
      </c>
      <c r="F8" s="7" t="s">
        <v>36</v>
      </c>
      <c r="G8" s="7">
        <v>999</v>
      </c>
      <c r="H8" s="7">
        <v>999</v>
      </c>
      <c r="I8" s="7">
        <v>999</v>
      </c>
      <c r="J8" s="7">
        <v>999</v>
      </c>
      <c r="K8" s="7">
        <v>999</v>
      </c>
      <c r="L8" s="7">
        <v>999</v>
      </c>
      <c r="M8" s="7">
        <v>999</v>
      </c>
      <c r="N8" s="7">
        <v>999</v>
      </c>
      <c r="O8" s="7">
        <v>105</v>
      </c>
      <c r="P8" s="7">
        <v>105</v>
      </c>
      <c r="Q8" s="7">
        <v>105</v>
      </c>
      <c r="R8" s="7">
        <v>105</v>
      </c>
      <c r="S8" s="7">
        <v>105</v>
      </c>
      <c r="T8" s="7">
        <v>105</v>
      </c>
      <c r="U8" s="7">
        <v>105</v>
      </c>
      <c r="V8" s="7">
        <v>105</v>
      </c>
      <c r="W8" s="7">
        <v>600</v>
      </c>
      <c r="X8" s="7">
        <v>600</v>
      </c>
      <c r="Y8" s="7">
        <v>600</v>
      </c>
      <c r="Z8" s="7">
        <v>600</v>
      </c>
      <c r="AA8" s="7">
        <v>600</v>
      </c>
      <c r="AB8" s="7">
        <v>600</v>
      </c>
      <c r="AC8" s="7">
        <v>600</v>
      </c>
      <c r="AD8" s="7">
        <v>600</v>
      </c>
      <c r="AE8" s="7">
        <v>100</v>
      </c>
      <c r="AF8" s="7">
        <v>100</v>
      </c>
      <c r="AG8" s="7">
        <v>100</v>
      </c>
      <c r="AH8" s="7">
        <v>100</v>
      </c>
      <c r="AI8" s="7">
        <v>100</v>
      </c>
      <c r="AJ8" s="7">
        <v>100</v>
      </c>
      <c r="AK8" s="7">
        <v>100</v>
      </c>
      <c r="AL8" s="7">
        <v>100</v>
      </c>
      <c r="AM8" s="7">
        <v>0</v>
      </c>
      <c r="AN8" s="7">
        <v>0</v>
      </c>
      <c r="AO8" s="7">
        <v>0</v>
      </c>
      <c r="AP8" s="7">
        <v>0</v>
      </c>
      <c r="AQ8" s="7">
        <v>0</v>
      </c>
      <c r="AR8" s="7">
        <v>0</v>
      </c>
      <c r="AS8" s="7">
        <v>0</v>
      </c>
      <c r="AT8" s="7">
        <v>0</v>
      </c>
      <c r="AU8" s="7">
        <v>3</v>
      </c>
      <c r="AV8" s="7">
        <v>10</v>
      </c>
      <c r="AW8" s="7">
        <v>0</v>
      </c>
    </row>
    <row r="9" spans="1:54">
      <c r="A9" s="72" t="s">
        <v>964</v>
      </c>
      <c r="B9" s="72" t="s">
        <v>453</v>
      </c>
      <c r="C9" s="72" t="s">
        <v>309</v>
      </c>
      <c r="D9" s="7" t="s">
        <v>111</v>
      </c>
      <c r="E9" s="7" t="s">
        <v>452</v>
      </c>
      <c r="F9" s="7" t="s">
        <v>39</v>
      </c>
      <c r="G9" s="7">
        <v>999</v>
      </c>
      <c r="H9" s="7">
        <v>999</v>
      </c>
      <c r="I9" s="7">
        <v>999</v>
      </c>
      <c r="J9" s="7">
        <v>999</v>
      </c>
      <c r="K9" s="7">
        <v>999</v>
      </c>
      <c r="L9" s="7">
        <v>999</v>
      </c>
      <c r="M9" s="7">
        <v>999</v>
      </c>
      <c r="N9" s="7">
        <v>999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7">
        <v>0</v>
      </c>
      <c r="AC9" s="7">
        <v>0</v>
      </c>
      <c r="AD9" s="7">
        <v>0</v>
      </c>
      <c r="AE9" s="7">
        <v>0</v>
      </c>
      <c r="AF9" s="7">
        <v>0</v>
      </c>
      <c r="AG9" s="7">
        <v>0</v>
      </c>
      <c r="AH9" s="7">
        <v>0</v>
      </c>
      <c r="AI9" s="7">
        <v>0</v>
      </c>
      <c r="AJ9" s="7">
        <v>0</v>
      </c>
      <c r="AK9" s="7">
        <v>0</v>
      </c>
      <c r="AL9" s="7">
        <v>0</v>
      </c>
      <c r="AM9" s="7">
        <v>0.8</v>
      </c>
      <c r="AN9" s="7">
        <v>0.8</v>
      </c>
      <c r="AO9" s="7">
        <v>0.8</v>
      </c>
      <c r="AP9" s="7">
        <v>0.8</v>
      </c>
      <c r="AQ9" s="7">
        <v>0.8</v>
      </c>
      <c r="AR9" s="7">
        <v>0.8</v>
      </c>
      <c r="AS9" s="7">
        <v>0.8</v>
      </c>
      <c r="AT9" s="7">
        <v>0.8</v>
      </c>
      <c r="AU9" s="7">
        <v>3</v>
      </c>
      <c r="AV9" s="7">
        <v>10</v>
      </c>
      <c r="AW9" s="7">
        <v>0</v>
      </c>
    </row>
    <row r="10" spans="1:54">
      <c r="A10" s="72" t="s">
        <v>964</v>
      </c>
      <c r="B10" s="72" t="s">
        <v>453</v>
      </c>
      <c r="C10" s="72" t="s">
        <v>311</v>
      </c>
      <c r="D10" s="7" t="s">
        <v>111</v>
      </c>
      <c r="E10" s="7" t="s">
        <v>452</v>
      </c>
      <c r="F10" s="7" t="s">
        <v>310</v>
      </c>
      <c r="G10" s="7">
        <v>999</v>
      </c>
      <c r="H10" s="7">
        <v>999</v>
      </c>
      <c r="I10" s="7">
        <v>999</v>
      </c>
      <c r="J10" s="7">
        <v>999</v>
      </c>
      <c r="K10" s="7">
        <v>999</v>
      </c>
      <c r="L10" s="7">
        <v>999</v>
      </c>
      <c r="M10" s="7">
        <v>999</v>
      </c>
      <c r="N10" s="7">
        <v>999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0.9</v>
      </c>
      <c r="AN10" s="7">
        <v>0.9</v>
      </c>
      <c r="AO10" s="7">
        <v>0.9</v>
      </c>
      <c r="AP10" s="7">
        <v>0.9</v>
      </c>
      <c r="AQ10" s="7">
        <v>0.9</v>
      </c>
      <c r="AR10" s="7">
        <v>0.9</v>
      </c>
      <c r="AS10" s="7">
        <v>0.9</v>
      </c>
      <c r="AT10" s="7">
        <v>0.9</v>
      </c>
      <c r="AU10" s="7">
        <v>3</v>
      </c>
      <c r="AV10" s="7">
        <v>10</v>
      </c>
      <c r="AW10" s="7">
        <v>0</v>
      </c>
    </row>
    <row r="11" spans="1:54">
      <c r="A11" s="72" t="s">
        <v>972</v>
      </c>
      <c r="B11" s="72" t="s">
        <v>466</v>
      </c>
      <c r="C11" s="72" t="s">
        <v>305</v>
      </c>
      <c r="D11" s="7" t="s">
        <v>96</v>
      </c>
      <c r="E11" s="7" t="s">
        <v>465</v>
      </c>
      <c r="F11" s="7" t="s">
        <v>35</v>
      </c>
      <c r="G11" s="7">
        <v>0</v>
      </c>
      <c r="H11" s="7">
        <v>0</v>
      </c>
      <c r="I11" s="7">
        <v>10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  <c r="AD11" s="7">
        <v>0</v>
      </c>
      <c r="AE11" s="7">
        <v>0</v>
      </c>
      <c r="AF11" s="7">
        <v>0</v>
      </c>
      <c r="AG11" s="7">
        <v>0</v>
      </c>
      <c r="AH11" s="7">
        <v>0</v>
      </c>
      <c r="AI11" s="7">
        <v>0</v>
      </c>
      <c r="AJ11" s="7">
        <v>0</v>
      </c>
      <c r="AK11" s="7">
        <v>0</v>
      </c>
      <c r="AL11" s="7">
        <v>0</v>
      </c>
      <c r="AM11" s="7">
        <v>0</v>
      </c>
      <c r="AN11" s="7">
        <v>0</v>
      </c>
      <c r="AO11" s="7">
        <v>4</v>
      </c>
      <c r="AP11" s="7">
        <v>0</v>
      </c>
      <c r="AQ11" s="7">
        <v>0</v>
      </c>
      <c r="AR11" s="7">
        <v>0</v>
      </c>
      <c r="AS11" s="7">
        <v>0</v>
      </c>
      <c r="AT11" s="7">
        <v>0</v>
      </c>
      <c r="AU11" s="7">
        <v>0</v>
      </c>
      <c r="AV11" s="7">
        <v>0</v>
      </c>
      <c r="AW11" s="7">
        <v>0</v>
      </c>
    </row>
    <row r="12" spans="1:54">
      <c r="A12" s="72" t="s">
        <v>972</v>
      </c>
      <c r="B12" s="72" t="s">
        <v>466</v>
      </c>
      <c r="C12" s="72" t="s">
        <v>305</v>
      </c>
      <c r="D12" s="7" t="s">
        <v>96</v>
      </c>
      <c r="E12" s="7" t="s">
        <v>465</v>
      </c>
      <c r="F12" s="7" t="s">
        <v>35</v>
      </c>
      <c r="G12" s="7">
        <v>0</v>
      </c>
      <c r="H12" s="7">
        <v>0</v>
      </c>
      <c r="I12" s="7">
        <v>20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5</v>
      </c>
      <c r="AP12" s="7">
        <v>0</v>
      </c>
      <c r="AQ12" s="7">
        <v>0</v>
      </c>
      <c r="AR12" s="7">
        <v>0</v>
      </c>
      <c r="AS12" s="7">
        <v>0</v>
      </c>
      <c r="AT12" s="7">
        <v>0</v>
      </c>
      <c r="AU12" s="7">
        <v>0</v>
      </c>
      <c r="AV12" s="7">
        <v>0</v>
      </c>
      <c r="AW12" s="7">
        <v>0</v>
      </c>
    </row>
    <row r="13" spans="1:54">
      <c r="A13" s="72" t="s">
        <v>964</v>
      </c>
      <c r="B13" s="72" t="s">
        <v>466</v>
      </c>
      <c r="C13" s="72" t="s">
        <v>306</v>
      </c>
      <c r="D13" s="7" t="s">
        <v>111</v>
      </c>
      <c r="E13" s="7" t="s">
        <v>465</v>
      </c>
      <c r="F13" s="7" t="s">
        <v>36</v>
      </c>
      <c r="G13" s="7">
        <v>12</v>
      </c>
      <c r="H13" s="7">
        <v>12</v>
      </c>
      <c r="I13" s="7">
        <v>12</v>
      </c>
      <c r="J13" s="7">
        <v>12</v>
      </c>
      <c r="K13" s="7">
        <v>12</v>
      </c>
      <c r="L13" s="7">
        <v>12</v>
      </c>
      <c r="M13" s="7">
        <v>12</v>
      </c>
      <c r="N13" s="7">
        <v>12</v>
      </c>
      <c r="O13" s="7">
        <v>105</v>
      </c>
      <c r="P13" s="7">
        <v>105</v>
      </c>
      <c r="Q13" s="7">
        <v>105</v>
      </c>
      <c r="R13" s="7">
        <v>105</v>
      </c>
      <c r="S13" s="7">
        <v>105</v>
      </c>
      <c r="T13" s="7">
        <v>105</v>
      </c>
      <c r="U13" s="7">
        <v>105</v>
      </c>
      <c r="V13" s="7">
        <v>105</v>
      </c>
      <c r="W13" s="7">
        <v>1800</v>
      </c>
      <c r="X13" s="7">
        <v>1800</v>
      </c>
      <c r="Y13" s="7">
        <v>1800</v>
      </c>
      <c r="Z13" s="7">
        <v>1800</v>
      </c>
      <c r="AA13" s="7">
        <v>1800</v>
      </c>
      <c r="AB13" s="7">
        <v>1800</v>
      </c>
      <c r="AC13" s="7">
        <v>1800</v>
      </c>
      <c r="AD13" s="7">
        <v>1800</v>
      </c>
      <c r="AE13" s="7">
        <v>0</v>
      </c>
      <c r="AF13" s="7">
        <v>0</v>
      </c>
      <c r="AG13" s="7">
        <v>0</v>
      </c>
      <c r="AH13" s="7">
        <v>0</v>
      </c>
      <c r="AI13" s="7">
        <v>0</v>
      </c>
      <c r="AJ13" s="7">
        <v>0</v>
      </c>
      <c r="AK13" s="7">
        <v>0</v>
      </c>
      <c r="AL13" s="7">
        <v>0</v>
      </c>
      <c r="AM13" s="7">
        <v>0</v>
      </c>
      <c r="AN13" s="7">
        <v>0</v>
      </c>
      <c r="AO13" s="7">
        <v>0</v>
      </c>
      <c r="AP13" s="7">
        <v>0</v>
      </c>
      <c r="AQ13" s="7">
        <v>0</v>
      </c>
      <c r="AR13" s="7">
        <v>0</v>
      </c>
      <c r="AS13" s="7">
        <v>0</v>
      </c>
      <c r="AT13" s="7">
        <v>0</v>
      </c>
      <c r="AU13" s="7">
        <v>3</v>
      </c>
      <c r="AV13" s="7">
        <v>10</v>
      </c>
      <c r="AW13" s="7">
        <v>0</v>
      </c>
    </row>
    <row r="14" spans="1:54">
      <c r="A14" s="72" t="s">
        <v>964</v>
      </c>
      <c r="B14" s="72" t="s">
        <v>466</v>
      </c>
      <c r="C14" s="72" t="s">
        <v>309</v>
      </c>
      <c r="D14" s="7" t="s">
        <v>111</v>
      </c>
      <c r="E14" s="7" t="s">
        <v>465</v>
      </c>
      <c r="F14" s="7" t="s">
        <v>39</v>
      </c>
      <c r="G14" s="7">
        <v>12</v>
      </c>
      <c r="H14" s="7">
        <v>12</v>
      </c>
      <c r="I14" s="7">
        <v>12</v>
      </c>
      <c r="J14" s="7">
        <v>12</v>
      </c>
      <c r="K14" s="7">
        <v>12</v>
      </c>
      <c r="L14" s="7">
        <v>12</v>
      </c>
      <c r="M14" s="7">
        <v>12</v>
      </c>
      <c r="N14" s="7">
        <v>12</v>
      </c>
      <c r="O14" s="7">
        <v>105</v>
      </c>
      <c r="P14" s="7">
        <v>105</v>
      </c>
      <c r="Q14" s="7">
        <v>105</v>
      </c>
      <c r="R14" s="7">
        <v>105</v>
      </c>
      <c r="S14" s="7">
        <v>105</v>
      </c>
      <c r="T14" s="7">
        <v>105</v>
      </c>
      <c r="U14" s="7">
        <v>105</v>
      </c>
      <c r="V14" s="7">
        <v>105</v>
      </c>
      <c r="W14" s="7">
        <v>1800</v>
      </c>
      <c r="X14" s="7">
        <v>1800</v>
      </c>
      <c r="Y14" s="7">
        <v>1800</v>
      </c>
      <c r="Z14" s="7">
        <v>1800</v>
      </c>
      <c r="AA14" s="7">
        <v>1800</v>
      </c>
      <c r="AB14" s="7">
        <v>1800</v>
      </c>
      <c r="AC14" s="7">
        <v>1800</v>
      </c>
      <c r="AD14" s="7">
        <v>1800</v>
      </c>
      <c r="AE14" s="7">
        <v>0</v>
      </c>
      <c r="AF14" s="7">
        <v>0</v>
      </c>
      <c r="AG14" s="7">
        <v>0</v>
      </c>
      <c r="AH14" s="7">
        <v>0</v>
      </c>
      <c r="AI14" s="7">
        <v>0</v>
      </c>
      <c r="AJ14" s="7">
        <v>0</v>
      </c>
      <c r="AK14" s="7">
        <v>0</v>
      </c>
      <c r="AL14" s="7">
        <v>0</v>
      </c>
      <c r="AM14" s="7">
        <v>0</v>
      </c>
      <c r="AN14" s="7">
        <v>0</v>
      </c>
      <c r="AO14" s="7">
        <v>0</v>
      </c>
      <c r="AP14" s="7">
        <v>0</v>
      </c>
      <c r="AQ14" s="7">
        <v>0</v>
      </c>
      <c r="AR14" s="7">
        <v>0</v>
      </c>
      <c r="AS14" s="7">
        <v>0</v>
      </c>
      <c r="AT14" s="7">
        <v>0</v>
      </c>
      <c r="AU14" s="7">
        <v>3</v>
      </c>
      <c r="AV14" s="7">
        <v>10</v>
      </c>
      <c r="AW14" s="7">
        <v>0</v>
      </c>
    </row>
    <row r="15" spans="1:54">
      <c r="A15" s="72" t="s">
        <v>972</v>
      </c>
      <c r="B15" s="72" t="s">
        <v>466</v>
      </c>
      <c r="C15" s="72" t="s">
        <v>305</v>
      </c>
      <c r="D15" s="7" t="s">
        <v>96</v>
      </c>
      <c r="E15" s="7" t="s">
        <v>465</v>
      </c>
      <c r="F15" s="7" t="s">
        <v>35</v>
      </c>
      <c r="G15" s="7">
        <v>0</v>
      </c>
      <c r="H15" s="7">
        <v>0</v>
      </c>
      <c r="I15" s="7">
        <v>30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7">
        <v>0</v>
      </c>
      <c r="AF15" s="7">
        <v>0</v>
      </c>
      <c r="AG15" s="7">
        <v>0</v>
      </c>
      <c r="AH15" s="7">
        <v>0</v>
      </c>
      <c r="AI15" s="7">
        <v>0</v>
      </c>
      <c r="AJ15" s="7">
        <v>0</v>
      </c>
      <c r="AK15" s="7">
        <v>0</v>
      </c>
      <c r="AL15" s="7">
        <v>0</v>
      </c>
      <c r="AM15" s="7">
        <v>0</v>
      </c>
      <c r="AN15" s="7">
        <v>0</v>
      </c>
      <c r="AO15" s="7">
        <v>6</v>
      </c>
      <c r="AP15" s="7">
        <v>0</v>
      </c>
      <c r="AQ15" s="7">
        <v>0</v>
      </c>
      <c r="AR15" s="7">
        <v>0</v>
      </c>
      <c r="AS15" s="7">
        <v>0</v>
      </c>
      <c r="AT15" s="7">
        <v>0</v>
      </c>
      <c r="AU15" s="7">
        <v>0</v>
      </c>
      <c r="AV15" s="7">
        <v>0</v>
      </c>
      <c r="AW15" s="7">
        <v>0</v>
      </c>
    </row>
    <row r="16" spans="1:54">
      <c r="A16" s="72" t="s">
        <v>972</v>
      </c>
      <c r="B16" s="72" t="s">
        <v>466</v>
      </c>
      <c r="C16" s="72" t="s">
        <v>305</v>
      </c>
      <c r="D16" s="7" t="s">
        <v>96</v>
      </c>
      <c r="E16" s="7" t="s">
        <v>465</v>
      </c>
      <c r="F16" s="7" t="s">
        <v>35</v>
      </c>
      <c r="G16" s="7">
        <v>0</v>
      </c>
      <c r="H16" s="7">
        <v>0</v>
      </c>
      <c r="I16" s="7">
        <v>40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7">
        <v>0</v>
      </c>
      <c r="AF16" s="7">
        <v>0</v>
      </c>
      <c r="AG16" s="7">
        <v>0</v>
      </c>
      <c r="AH16" s="7">
        <v>0</v>
      </c>
      <c r="AI16" s="7">
        <v>0</v>
      </c>
      <c r="AJ16" s="7">
        <v>0</v>
      </c>
      <c r="AK16" s="7">
        <v>0</v>
      </c>
      <c r="AL16" s="7">
        <v>0</v>
      </c>
      <c r="AM16" s="7">
        <v>0</v>
      </c>
      <c r="AN16" s="7">
        <v>0</v>
      </c>
      <c r="AO16" s="7">
        <v>7</v>
      </c>
      <c r="AP16" s="7">
        <v>0</v>
      </c>
      <c r="AQ16" s="7">
        <v>0</v>
      </c>
      <c r="AR16" s="7">
        <v>0</v>
      </c>
      <c r="AS16" s="7">
        <v>0</v>
      </c>
      <c r="AT16" s="7">
        <v>0</v>
      </c>
      <c r="AU16" s="7">
        <v>0</v>
      </c>
      <c r="AV16" s="7">
        <v>0</v>
      </c>
      <c r="AW16" s="7">
        <v>0</v>
      </c>
    </row>
    <row r="17" spans="1:49">
      <c r="A17" s="72" t="s">
        <v>964</v>
      </c>
      <c r="B17" s="72" t="s">
        <v>466</v>
      </c>
      <c r="C17" s="72" t="s">
        <v>311</v>
      </c>
      <c r="D17" s="7" t="s">
        <v>111</v>
      </c>
      <c r="E17" s="7" t="s">
        <v>465</v>
      </c>
      <c r="F17" s="7" t="s">
        <v>310</v>
      </c>
      <c r="G17" s="7">
        <v>12</v>
      </c>
      <c r="H17" s="7">
        <v>12</v>
      </c>
      <c r="I17" s="7">
        <v>12</v>
      </c>
      <c r="J17" s="7">
        <v>12</v>
      </c>
      <c r="K17" s="7">
        <v>12</v>
      </c>
      <c r="L17" s="7">
        <v>12</v>
      </c>
      <c r="M17" s="7">
        <v>12</v>
      </c>
      <c r="N17" s="7">
        <v>12</v>
      </c>
      <c r="O17" s="7">
        <v>105</v>
      </c>
      <c r="P17" s="7">
        <v>105</v>
      </c>
      <c r="Q17" s="7">
        <v>105</v>
      </c>
      <c r="R17" s="7">
        <v>105</v>
      </c>
      <c r="S17" s="7">
        <v>105</v>
      </c>
      <c r="T17" s="7">
        <v>105</v>
      </c>
      <c r="U17" s="7">
        <v>105</v>
      </c>
      <c r="V17" s="7">
        <v>105</v>
      </c>
      <c r="W17" s="7">
        <v>1800</v>
      </c>
      <c r="X17" s="7">
        <v>1800</v>
      </c>
      <c r="Y17" s="7">
        <v>1800</v>
      </c>
      <c r="Z17" s="7">
        <v>1800</v>
      </c>
      <c r="AA17" s="7">
        <v>1800</v>
      </c>
      <c r="AB17" s="7">
        <v>1800</v>
      </c>
      <c r="AC17" s="7">
        <v>1800</v>
      </c>
      <c r="AD17" s="7">
        <v>1800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v>0</v>
      </c>
      <c r="AL17" s="7">
        <v>0</v>
      </c>
      <c r="AM17" s="7">
        <v>0</v>
      </c>
      <c r="AN17" s="7">
        <v>0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  <c r="AT17" s="7">
        <v>0</v>
      </c>
      <c r="AU17" s="7">
        <v>3</v>
      </c>
      <c r="AV17" s="7">
        <v>10</v>
      </c>
      <c r="AW17" s="7">
        <v>0</v>
      </c>
    </row>
    <row r="18" spans="1:49">
      <c r="A18" s="72" t="s">
        <v>964</v>
      </c>
      <c r="B18" s="72" t="s">
        <v>466</v>
      </c>
      <c r="C18" s="72" t="s">
        <v>309</v>
      </c>
      <c r="D18" s="7" t="s">
        <v>111</v>
      </c>
      <c r="E18" s="7" t="s">
        <v>465</v>
      </c>
      <c r="F18" s="7" t="s">
        <v>39</v>
      </c>
      <c r="G18" s="7">
        <v>999</v>
      </c>
      <c r="H18" s="7">
        <v>999</v>
      </c>
      <c r="I18" s="7">
        <v>999</v>
      </c>
      <c r="J18" s="7">
        <v>999</v>
      </c>
      <c r="K18" s="7">
        <v>999</v>
      </c>
      <c r="L18" s="7">
        <v>999</v>
      </c>
      <c r="M18" s="7">
        <v>999</v>
      </c>
      <c r="N18" s="7">
        <v>999</v>
      </c>
      <c r="O18" s="7">
        <v>105</v>
      </c>
      <c r="P18" s="7">
        <v>105</v>
      </c>
      <c r="Q18" s="7">
        <v>105</v>
      </c>
      <c r="R18" s="7">
        <v>105</v>
      </c>
      <c r="S18" s="7">
        <v>105</v>
      </c>
      <c r="T18" s="7">
        <v>105</v>
      </c>
      <c r="U18" s="7">
        <v>105</v>
      </c>
      <c r="V18" s="7">
        <v>105</v>
      </c>
      <c r="W18" s="7">
        <v>600</v>
      </c>
      <c r="X18" s="7">
        <v>600</v>
      </c>
      <c r="Y18" s="7">
        <v>600</v>
      </c>
      <c r="Z18" s="7">
        <v>600</v>
      </c>
      <c r="AA18" s="7">
        <v>600</v>
      </c>
      <c r="AB18" s="7">
        <v>600</v>
      </c>
      <c r="AC18" s="7">
        <v>600</v>
      </c>
      <c r="AD18" s="7">
        <v>600</v>
      </c>
      <c r="AE18" s="7">
        <v>100</v>
      </c>
      <c r="AF18" s="7">
        <v>100</v>
      </c>
      <c r="AG18" s="7">
        <v>100</v>
      </c>
      <c r="AH18" s="7">
        <v>100</v>
      </c>
      <c r="AI18" s="7">
        <v>100</v>
      </c>
      <c r="AJ18" s="7">
        <v>100</v>
      </c>
      <c r="AK18" s="7">
        <v>100</v>
      </c>
      <c r="AL18" s="7">
        <v>100</v>
      </c>
      <c r="AM18" s="7">
        <v>0</v>
      </c>
      <c r="AN18" s="7">
        <v>0</v>
      </c>
      <c r="AO18" s="7">
        <v>0</v>
      </c>
      <c r="AP18" s="7">
        <v>0</v>
      </c>
      <c r="AQ18" s="7">
        <v>0</v>
      </c>
      <c r="AR18" s="7">
        <v>0</v>
      </c>
      <c r="AS18" s="7">
        <v>0</v>
      </c>
      <c r="AT18" s="7">
        <v>0</v>
      </c>
      <c r="AU18" s="7">
        <v>3</v>
      </c>
      <c r="AV18" s="7">
        <v>10</v>
      </c>
      <c r="AW18" s="7">
        <v>0</v>
      </c>
    </row>
    <row r="19" spans="1:49">
      <c r="A19" s="72" t="s">
        <v>964</v>
      </c>
      <c r="B19" s="72" t="s">
        <v>466</v>
      </c>
      <c r="C19" s="72" t="s">
        <v>311</v>
      </c>
      <c r="D19" s="7" t="s">
        <v>111</v>
      </c>
      <c r="E19" s="7" t="s">
        <v>465</v>
      </c>
      <c r="F19" s="7" t="s">
        <v>310</v>
      </c>
      <c r="G19" s="7">
        <v>999</v>
      </c>
      <c r="H19" s="7">
        <v>999</v>
      </c>
      <c r="I19" s="7">
        <v>999</v>
      </c>
      <c r="J19" s="7">
        <v>999</v>
      </c>
      <c r="K19" s="7">
        <v>999</v>
      </c>
      <c r="L19" s="7">
        <v>999</v>
      </c>
      <c r="M19" s="7">
        <v>999</v>
      </c>
      <c r="N19" s="7">
        <v>999</v>
      </c>
      <c r="O19" s="7">
        <v>105</v>
      </c>
      <c r="P19" s="7">
        <v>105</v>
      </c>
      <c r="Q19" s="7">
        <v>105</v>
      </c>
      <c r="R19" s="7">
        <v>105</v>
      </c>
      <c r="S19" s="7">
        <v>105</v>
      </c>
      <c r="T19" s="7">
        <v>105</v>
      </c>
      <c r="U19" s="7">
        <v>105</v>
      </c>
      <c r="V19" s="7">
        <v>105</v>
      </c>
      <c r="W19" s="7">
        <v>600</v>
      </c>
      <c r="X19" s="7">
        <v>600</v>
      </c>
      <c r="Y19" s="7">
        <v>600</v>
      </c>
      <c r="Z19" s="7">
        <v>600</v>
      </c>
      <c r="AA19" s="7">
        <v>600</v>
      </c>
      <c r="AB19" s="7">
        <v>600</v>
      </c>
      <c r="AC19" s="7">
        <v>600</v>
      </c>
      <c r="AD19" s="7">
        <v>600</v>
      </c>
      <c r="AE19" s="7">
        <v>100</v>
      </c>
      <c r="AF19" s="7">
        <v>100</v>
      </c>
      <c r="AG19" s="7">
        <v>100</v>
      </c>
      <c r="AH19" s="7">
        <v>100</v>
      </c>
      <c r="AI19" s="7">
        <v>100</v>
      </c>
      <c r="AJ19" s="7">
        <v>100</v>
      </c>
      <c r="AK19" s="7">
        <v>100</v>
      </c>
      <c r="AL19" s="7">
        <v>100</v>
      </c>
      <c r="AM19" s="7">
        <v>0</v>
      </c>
      <c r="AN19" s="7">
        <v>0</v>
      </c>
      <c r="AO19" s="7">
        <v>0</v>
      </c>
      <c r="AP19" s="7">
        <v>0</v>
      </c>
      <c r="AQ19" s="7">
        <v>0</v>
      </c>
      <c r="AR19" s="7">
        <v>0</v>
      </c>
      <c r="AS19" s="7">
        <v>0</v>
      </c>
      <c r="AT19" s="7">
        <v>0</v>
      </c>
      <c r="AU19" s="7">
        <v>3</v>
      </c>
      <c r="AV19" s="7">
        <v>10</v>
      </c>
      <c r="AW19" s="7">
        <v>0</v>
      </c>
    </row>
    <row r="20" spans="1:49">
      <c r="A20" s="72" t="s">
        <v>967</v>
      </c>
      <c r="B20" s="72" t="s">
        <v>453</v>
      </c>
      <c r="C20" s="72" t="s">
        <v>305</v>
      </c>
      <c r="D20" s="7" t="s">
        <v>113</v>
      </c>
      <c r="E20" s="7" t="s">
        <v>452</v>
      </c>
      <c r="F20" s="7" t="s">
        <v>35</v>
      </c>
      <c r="G20" s="7">
        <v>999</v>
      </c>
      <c r="H20" s="7">
        <v>999</v>
      </c>
      <c r="I20" s="7">
        <v>999</v>
      </c>
      <c r="J20" s="7">
        <v>999</v>
      </c>
      <c r="K20" s="7">
        <v>999</v>
      </c>
      <c r="L20" s="7">
        <v>999</v>
      </c>
      <c r="M20" s="7">
        <v>999</v>
      </c>
      <c r="N20" s="7">
        <v>999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0.8</v>
      </c>
      <c r="AN20" s="7">
        <v>0.8</v>
      </c>
      <c r="AO20" s="7">
        <v>0.8</v>
      </c>
      <c r="AP20" s="7">
        <v>0.8</v>
      </c>
      <c r="AQ20" s="7">
        <v>0.8</v>
      </c>
      <c r="AR20" s="7">
        <v>0.8</v>
      </c>
      <c r="AS20" s="7">
        <v>0.8</v>
      </c>
      <c r="AT20" s="7">
        <v>0.8</v>
      </c>
      <c r="AU20" s="7">
        <v>3</v>
      </c>
      <c r="AV20" s="7">
        <v>10</v>
      </c>
      <c r="AW20" s="7">
        <v>0</v>
      </c>
    </row>
    <row r="21" spans="1:49">
      <c r="A21" s="72" t="s">
        <v>967</v>
      </c>
      <c r="B21" s="72" t="s">
        <v>466</v>
      </c>
      <c r="C21" s="72" t="s">
        <v>305</v>
      </c>
      <c r="D21" s="7" t="s">
        <v>113</v>
      </c>
      <c r="E21" s="7" t="s">
        <v>465</v>
      </c>
      <c r="F21" s="7" t="s">
        <v>35</v>
      </c>
      <c r="G21" s="7">
        <v>12</v>
      </c>
      <c r="H21" s="7">
        <v>12</v>
      </c>
      <c r="I21" s="7">
        <v>12</v>
      </c>
      <c r="J21" s="7">
        <v>12</v>
      </c>
      <c r="K21" s="7">
        <v>12</v>
      </c>
      <c r="L21" s="7">
        <v>12</v>
      </c>
      <c r="M21" s="7">
        <v>12</v>
      </c>
      <c r="N21" s="7">
        <v>12</v>
      </c>
      <c r="O21" s="7">
        <v>105</v>
      </c>
      <c r="P21" s="7">
        <v>105</v>
      </c>
      <c r="Q21" s="7">
        <v>105</v>
      </c>
      <c r="R21" s="7">
        <v>105</v>
      </c>
      <c r="S21" s="7">
        <v>105</v>
      </c>
      <c r="T21" s="7">
        <v>105</v>
      </c>
      <c r="U21" s="7">
        <v>105</v>
      </c>
      <c r="V21" s="7">
        <v>105</v>
      </c>
      <c r="W21" s="7">
        <v>1800</v>
      </c>
      <c r="X21" s="7">
        <v>1800</v>
      </c>
      <c r="Y21" s="7">
        <v>1800</v>
      </c>
      <c r="Z21" s="7">
        <v>1800</v>
      </c>
      <c r="AA21" s="7">
        <v>1800</v>
      </c>
      <c r="AB21" s="7">
        <v>1800</v>
      </c>
      <c r="AC21" s="7">
        <v>1800</v>
      </c>
      <c r="AD21" s="7">
        <v>1800</v>
      </c>
      <c r="AE21" s="7">
        <v>0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v>0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  <c r="AQ21" s="7">
        <v>0</v>
      </c>
      <c r="AR21" s="7">
        <v>0</v>
      </c>
      <c r="AS21" s="7">
        <v>0</v>
      </c>
      <c r="AT21" s="7">
        <v>0</v>
      </c>
      <c r="AU21" s="7">
        <v>3</v>
      </c>
      <c r="AV21" s="7">
        <v>10</v>
      </c>
      <c r="AW21" s="7">
        <v>0</v>
      </c>
    </row>
    <row r="22" spans="1:49">
      <c r="A22" s="72" t="s">
        <v>967</v>
      </c>
      <c r="B22" s="72" t="s">
        <v>466</v>
      </c>
      <c r="C22" s="72" t="s">
        <v>305</v>
      </c>
      <c r="D22" s="7" t="s">
        <v>113</v>
      </c>
      <c r="E22" s="7" t="s">
        <v>465</v>
      </c>
      <c r="F22" s="7" t="s">
        <v>35</v>
      </c>
      <c r="G22" s="7">
        <v>999</v>
      </c>
      <c r="H22" s="7">
        <v>999</v>
      </c>
      <c r="I22" s="7">
        <v>999</v>
      </c>
      <c r="J22" s="7">
        <v>999</v>
      </c>
      <c r="K22" s="7">
        <v>999</v>
      </c>
      <c r="L22" s="7">
        <v>999</v>
      </c>
      <c r="M22" s="7">
        <v>999</v>
      </c>
      <c r="N22" s="7">
        <v>999</v>
      </c>
      <c r="O22" s="7">
        <v>105</v>
      </c>
      <c r="P22" s="7">
        <v>105</v>
      </c>
      <c r="Q22" s="7">
        <v>105</v>
      </c>
      <c r="R22" s="7">
        <v>105</v>
      </c>
      <c r="S22" s="7">
        <v>105</v>
      </c>
      <c r="T22" s="7">
        <v>105</v>
      </c>
      <c r="U22" s="7">
        <v>105</v>
      </c>
      <c r="V22" s="7">
        <v>105</v>
      </c>
      <c r="W22" s="7">
        <v>600</v>
      </c>
      <c r="X22" s="7">
        <v>600</v>
      </c>
      <c r="Y22" s="7">
        <v>600</v>
      </c>
      <c r="Z22" s="7">
        <v>600</v>
      </c>
      <c r="AA22" s="7">
        <v>600</v>
      </c>
      <c r="AB22" s="7">
        <v>600</v>
      </c>
      <c r="AC22" s="7">
        <v>600</v>
      </c>
      <c r="AD22" s="7">
        <v>600</v>
      </c>
      <c r="AE22" s="7">
        <v>100</v>
      </c>
      <c r="AF22" s="7">
        <v>100</v>
      </c>
      <c r="AG22" s="7">
        <v>100</v>
      </c>
      <c r="AH22" s="7">
        <v>100</v>
      </c>
      <c r="AI22" s="7">
        <v>100</v>
      </c>
      <c r="AJ22" s="7">
        <v>100</v>
      </c>
      <c r="AK22" s="7">
        <v>100</v>
      </c>
      <c r="AL22" s="7">
        <v>100</v>
      </c>
      <c r="AM22" s="7">
        <v>0</v>
      </c>
      <c r="AN22" s="7">
        <v>0</v>
      </c>
      <c r="AO22" s="7">
        <v>0</v>
      </c>
      <c r="AP22" s="7">
        <v>0</v>
      </c>
      <c r="AQ22" s="7">
        <v>0</v>
      </c>
      <c r="AR22" s="7">
        <v>0</v>
      </c>
      <c r="AS22" s="7">
        <v>0</v>
      </c>
      <c r="AT22" s="7">
        <v>0</v>
      </c>
      <c r="AU22" s="7">
        <v>3</v>
      </c>
      <c r="AV22" s="7">
        <v>10</v>
      </c>
      <c r="AW22" s="7">
        <v>0</v>
      </c>
    </row>
    <row r="23" spans="1:49">
      <c r="A23" s="72" t="s">
        <v>971</v>
      </c>
      <c r="B23" s="72" t="s">
        <v>453</v>
      </c>
      <c r="C23" s="72" t="s">
        <v>305</v>
      </c>
      <c r="D23" s="7" t="s">
        <v>113</v>
      </c>
      <c r="E23" s="7" t="s">
        <v>452</v>
      </c>
      <c r="F23" s="7" t="s">
        <v>36</v>
      </c>
      <c r="G23" s="7">
        <v>999</v>
      </c>
      <c r="H23" s="7">
        <v>999</v>
      </c>
      <c r="I23" s="7">
        <v>999</v>
      </c>
      <c r="J23" s="7">
        <v>999</v>
      </c>
      <c r="K23" s="7">
        <v>999</v>
      </c>
      <c r="L23" s="7">
        <v>999</v>
      </c>
      <c r="M23" s="7">
        <v>999</v>
      </c>
      <c r="N23" s="7">
        <v>999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>
        <v>0</v>
      </c>
      <c r="AE23" s="7">
        <v>0</v>
      </c>
      <c r="AF23" s="7">
        <v>0</v>
      </c>
      <c r="AG23" s="7">
        <v>0</v>
      </c>
      <c r="AH23" s="7">
        <v>0</v>
      </c>
      <c r="AI23" s="7">
        <v>0</v>
      </c>
      <c r="AJ23" s="7">
        <v>0</v>
      </c>
      <c r="AK23" s="7">
        <v>0</v>
      </c>
      <c r="AL23" s="7">
        <v>0</v>
      </c>
      <c r="AM23" s="7">
        <v>0.9</v>
      </c>
      <c r="AN23" s="7">
        <v>0.9</v>
      </c>
      <c r="AO23" s="7">
        <v>0.9</v>
      </c>
      <c r="AP23" s="7">
        <v>0.9</v>
      </c>
      <c r="AQ23" s="7">
        <v>0.9</v>
      </c>
      <c r="AR23" s="7">
        <v>0.9</v>
      </c>
      <c r="AS23" s="7">
        <v>0.9</v>
      </c>
      <c r="AT23" s="7">
        <v>0.9</v>
      </c>
      <c r="AU23" s="7">
        <v>3</v>
      </c>
      <c r="AV23" s="7">
        <v>10</v>
      </c>
      <c r="AW23" s="7">
        <v>0</v>
      </c>
    </row>
    <row r="24" spans="1:49">
      <c r="A24" s="72" t="s">
        <v>971</v>
      </c>
      <c r="B24" s="72" t="s">
        <v>466</v>
      </c>
      <c r="C24" s="72" t="s">
        <v>305</v>
      </c>
      <c r="D24" s="7" t="s">
        <v>113</v>
      </c>
      <c r="E24" s="7" t="s">
        <v>465</v>
      </c>
      <c r="F24" s="7" t="s">
        <v>36</v>
      </c>
      <c r="G24" s="7">
        <v>999</v>
      </c>
      <c r="H24" s="7">
        <v>999</v>
      </c>
      <c r="I24" s="7">
        <v>999</v>
      </c>
      <c r="J24" s="7">
        <v>999</v>
      </c>
      <c r="K24" s="7">
        <v>999</v>
      </c>
      <c r="L24" s="7">
        <v>999</v>
      </c>
      <c r="M24" s="7">
        <v>999</v>
      </c>
      <c r="N24" s="7">
        <v>999</v>
      </c>
      <c r="O24" s="7">
        <v>105</v>
      </c>
      <c r="P24" s="7">
        <v>105</v>
      </c>
      <c r="Q24" s="7">
        <v>105</v>
      </c>
      <c r="R24" s="7">
        <v>105</v>
      </c>
      <c r="S24" s="7">
        <v>105</v>
      </c>
      <c r="T24" s="7">
        <v>105</v>
      </c>
      <c r="U24" s="7">
        <v>105</v>
      </c>
      <c r="V24" s="7">
        <v>105</v>
      </c>
      <c r="W24" s="7">
        <v>600</v>
      </c>
      <c r="X24" s="7">
        <v>600</v>
      </c>
      <c r="Y24" s="7">
        <v>600</v>
      </c>
      <c r="Z24" s="7">
        <v>600</v>
      </c>
      <c r="AA24" s="7">
        <v>600</v>
      </c>
      <c r="AB24" s="7">
        <v>600</v>
      </c>
      <c r="AC24" s="7">
        <v>600</v>
      </c>
      <c r="AD24" s="7">
        <v>600</v>
      </c>
      <c r="AE24" s="7">
        <v>100</v>
      </c>
      <c r="AF24" s="7">
        <v>100</v>
      </c>
      <c r="AG24" s="7">
        <v>100</v>
      </c>
      <c r="AH24" s="7">
        <v>100</v>
      </c>
      <c r="AI24" s="7">
        <v>100</v>
      </c>
      <c r="AJ24" s="7">
        <v>100</v>
      </c>
      <c r="AK24" s="7">
        <v>100</v>
      </c>
      <c r="AL24" s="7">
        <v>100</v>
      </c>
      <c r="AM24" s="7">
        <v>0</v>
      </c>
      <c r="AN24" s="7">
        <v>0</v>
      </c>
      <c r="AO24" s="7">
        <v>0</v>
      </c>
      <c r="AP24" s="7">
        <v>0</v>
      </c>
      <c r="AQ24" s="7">
        <v>0</v>
      </c>
      <c r="AR24" s="7">
        <v>0</v>
      </c>
      <c r="AS24" s="7">
        <v>0</v>
      </c>
      <c r="AT24" s="7">
        <v>0</v>
      </c>
      <c r="AU24" s="7">
        <v>3</v>
      </c>
      <c r="AV24" s="7">
        <v>10</v>
      </c>
      <c r="AW24" s="7">
        <v>0</v>
      </c>
    </row>
    <row r="25" spans="1:49">
      <c r="A25" s="72" t="s">
        <v>971</v>
      </c>
      <c r="B25" s="72" t="s">
        <v>466</v>
      </c>
      <c r="C25" s="72" t="s">
        <v>305</v>
      </c>
      <c r="D25" s="7" t="s">
        <v>113</v>
      </c>
      <c r="E25" s="7" t="s">
        <v>452</v>
      </c>
      <c r="F25" s="7" t="s">
        <v>39</v>
      </c>
      <c r="G25" s="7">
        <v>999</v>
      </c>
      <c r="H25" s="7">
        <v>999</v>
      </c>
      <c r="I25" s="7">
        <v>999</v>
      </c>
      <c r="J25" s="7">
        <v>999</v>
      </c>
      <c r="K25" s="7">
        <v>999</v>
      </c>
      <c r="L25" s="7">
        <v>999</v>
      </c>
      <c r="M25" s="7">
        <v>999</v>
      </c>
      <c r="N25" s="7">
        <v>999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0</v>
      </c>
      <c r="AF25" s="7">
        <v>0</v>
      </c>
      <c r="AG25" s="7">
        <v>0</v>
      </c>
      <c r="AH25" s="7">
        <v>0</v>
      </c>
      <c r="AI25" s="7">
        <v>0</v>
      </c>
      <c r="AJ25" s="7">
        <v>0</v>
      </c>
      <c r="AK25" s="7">
        <v>0</v>
      </c>
      <c r="AL25" s="7">
        <v>0</v>
      </c>
      <c r="AM25" s="7">
        <v>0.8</v>
      </c>
      <c r="AN25" s="7">
        <v>0.8</v>
      </c>
      <c r="AO25" s="7">
        <v>0.8</v>
      </c>
      <c r="AP25" s="7">
        <v>0.8</v>
      </c>
      <c r="AQ25" s="7">
        <v>0.8</v>
      </c>
      <c r="AR25" s="7">
        <v>0.8</v>
      </c>
      <c r="AS25" s="7">
        <v>0.8</v>
      </c>
      <c r="AT25" s="7">
        <v>0.8</v>
      </c>
      <c r="AU25" s="7">
        <v>3</v>
      </c>
      <c r="AV25" s="7">
        <v>10</v>
      </c>
      <c r="AW25" s="7">
        <v>0</v>
      </c>
    </row>
    <row r="26" spans="1:49">
      <c r="A26" s="72" t="s">
        <v>971</v>
      </c>
      <c r="B26" s="72" t="s">
        <v>453</v>
      </c>
      <c r="C26" s="72" t="s">
        <v>306</v>
      </c>
      <c r="D26" s="7" t="s">
        <v>113</v>
      </c>
      <c r="E26" s="7" t="s">
        <v>452</v>
      </c>
      <c r="F26" s="7" t="s">
        <v>310</v>
      </c>
      <c r="G26" s="7">
        <v>999</v>
      </c>
      <c r="H26" s="7">
        <v>999</v>
      </c>
      <c r="I26" s="7">
        <v>999</v>
      </c>
      <c r="J26" s="7">
        <v>999</v>
      </c>
      <c r="K26" s="7">
        <v>999</v>
      </c>
      <c r="L26" s="7">
        <v>999</v>
      </c>
      <c r="M26" s="7">
        <v>999</v>
      </c>
      <c r="N26" s="7">
        <v>999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0.9</v>
      </c>
      <c r="AN26" s="7">
        <v>0.9</v>
      </c>
      <c r="AO26" s="7">
        <v>0.9</v>
      </c>
      <c r="AP26" s="7">
        <v>0.9</v>
      </c>
      <c r="AQ26" s="7">
        <v>0.9</v>
      </c>
      <c r="AR26" s="7">
        <v>0.9</v>
      </c>
      <c r="AS26" s="7">
        <v>0.9</v>
      </c>
      <c r="AT26" s="7">
        <v>0.9</v>
      </c>
      <c r="AU26" s="7">
        <v>3</v>
      </c>
      <c r="AV26" s="7">
        <v>10</v>
      </c>
      <c r="AW26" s="7">
        <v>0</v>
      </c>
    </row>
    <row r="27" spans="1:49">
      <c r="A27" s="72" t="s">
        <v>967</v>
      </c>
      <c r="B27" s="72" t="s">
        <v>453</v>
      </c>
      <c r="C27" s="72" t="s">
        <v>306</v>
      </c>
      <c r="D27" s="7" t="s">
        <v>113</v>
      </c>
      <c r="E27" s="7" t="s">
        <v>465</v>
      </c>
      <c r="F27" s="7" t="s">
        <v>36</v>
      </c>
      <c r="G27" s="7">
        <v>12</v>
      </c>
      <c r="H27" s="7">
        <v>12</v>
      </c>
      <c r="I27" s="7">
        <v>12</v>
      </c>
      <c r="J27" s="7">
        <v>12</v>
      </c>
      <c r="K27" s="7">
        <v>12</v>
      </c>
      <c r="L27" s="7">
        <v>12</v>
      </c>
      <c r="M27" s="7">
        <v>12</v>
      </c>
      <c r="N27" s="7">
        <v>12</v>
      </c>
      <c r="O27" s="7">
        <v>105</v>
      </c>
      <c r="P27" s="7">
        <v>105</v>
      </c>
      <c r="Q27" s="7">
        <v>105</v>
      </c>
      <c r="R27" s="7">
        <v>105</v>
      </c>
      <c r="S27" s="7">
        <v>105</v>
      </c>
      <c r="T27" s="7">
        <v>105</v>
      </c>
      <c r="U27" s="7">
        <v>105</v>
      </c>
      <c r="V27" s="7">
        <v>105</v>
      </c>
      <c r="W27" s="7">
        <v>1800</v>
      </c>
      <c r="X27" s="7">
        <v>1800</v>
      </c>
      <c r="Y27" s="7">
        <v>1800</v>
      </c>
      <c r="Z27" s="7">
        <v>1800</v>
      </c>
      <c r="AA27" s="7">
        <v>1800</v>
      </c>
      <c r="AB27" s="7">
        <v>1800</v>
      </c>
      <c r="AC27" s="7">
        <v>1800</v>
      </c>
      <c r="AD27" s="7">
        <v>1800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L27" s="7">
        <v>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7">
        <v>0</v>
      </c>
      <c r="AS27" s="7">
        <v>0</v>
      </c>
      <c r="AT27" s="7">
        <v>0</v>
      </c>
      <c r="AU27" s="7">
        <v>3</v>
      </c>
      <c r="AV27" s="7">
        <v>10</v>
      </c>
      <c r="AW27" s="7">
        <v>0</v>
      </c>
    </row>
    <row r="28" spans="1:49">
      <c r="A28" s="72" t="s">
        <v>967</v>
      </c>
      <c r="B28" s="72" t="s">
        <v>466</v>
      </c>
      <c r="C28" s="72" t="s">
        <v>306</v>
      </c>
      <c r="D28" s="7" t="s">
        <v>113</v>
      </c>
      <c r="E28" s="7" t="s">
        <v>465</v>
      </c>
      <c r="F28" s="7" t="s">
        <v>39</v>
      </c>
      <c r="G28" s="7">
        <v>12</v>
      </c>
      <c r="H28" s="7">
        <v>12</v>
      </c>
      <c r="I28" s="7">
        <v>12</v>
      </c>
      <c r="J28" s="7">
        <v>12</v>
      </c>
      <c r="K28" s="7">
        <v>12</v>
      </c>
      <c r="L28" s="7">
        <v>12</v>
      </c>
      <c r="M28" s="7">
        <v>12</v>
      </c>
      <c r="N28" s="7">
        <v>12</v>
      </c>
      <c r="O28" s="7">
        <v>105</v>
      </c>
      <c r="P28" s="7">
        <v>105</v>
      </c>
      <c r="Q28" s="7">
        <v>105</v>
      </c>
      <c r="R28" s="7">
        <v>105</v>
      </c>
      <c r="S28" s="7">
        <v>105</v>
      </c>
      <c r="T28" s="7">
        <v>105</v>
      </c>
      <c r="U28" s="7">
        <v>105</v>
      </c>
      <c r="V28" s="7">
        <v>105</v>
      </c>
      <c r="W28" s="7">
        <v>1800</v>
      </c>
      <c r="X28" s="7">
        <v>1800</v>
      </c>
      <c r="Y28" s="7">
        <v>1800</v>
      </c>
      <c r="Z28" s="7">
        <v>1800</v>
      </c>
      <c r="AA28" s="7">
        <v>1800</v>
      </c>
      <c r="AB28" s="7">
        <v>1800</v>
      </c>
      <c r="AC28" s="7">
        <v>1800</v>
      </c>
      <c r="AD28" s="7">
        <v>1800</v>
      </c>
      <c r="AE28" s="7">
        <v>0</v>
      </c>
      <c r="AF28" s="7">
        <v>0</v>
      </c>
      <c r="AG28" s="7">
        <v>0</v>
      </c>
      <c r="AH28" s="7">
        <v>0</v>
      </c>
      <c r="AI28" s="7">
        <v>0</v>
      </c>
      <c r="AJ28" s="7">
        <v>0</v>
      </c>
      <c r="AK28" s="7">
        <v>0</v>
      </c>
      <c r="AL28" s="7">
        <v>0</v>
      </c>
      <c r="AM28" s="7">
        <v>0</v>
      </c>
      <c r="AN28" s="7">
        <v>0</v>
      </c>
      <c r="AO28" s="7">
        <v>0</v>
      </c>
      <c r="AP28" s="7">
        <v>0</v>
      </c>
      <c r="AQ28" s="7">
        <v>0</v>
      </c>
      <c r="AR28" s="7">
        <v>0</v>
      </c>
      <c r="AS28" s="7">
        <v>0</v>
      </c>
      <c r="AT28" s="7">
        <v>0</v>
      </c>
      <c r="AU28" s="7">
        <v>3</v>
      </c>
      <c r="AV28" s="7">
        <v>10</v>
      </c>
      <c r="AW28" s="7">
        <v>0</v>
      </c>
    </row>
    <row r="29" spans="1:49">
      <c r="A29" s="72" t="s">
        <v>967</v>
      </c>
      <c r="B29" s="72" t="s">
        <v>453</v>
      </c>
      <c r="C29" s="72" t="s">
        <v>309</v>
      </c>
      <c r="D29" s="7" t="s">
        <v>113</v>
      </c>
      <c r="E29" s="7" t="s">
        <v>465</v>
      </c>
      <c r="F29" s="7" t="s">
        <v>310</v>
      </c>
      <c r="G29" s="7">
        <v>12</v>
      </c>
      <c r="H29" s="7">
        <v>12</v>
      </c>
      <c r="I29" s="7">
        <v>12</v>
      </c>
      <c r="J29" s="7">
        <v>12</v>
      </c>
      <c r="K29" s="7">
        <v>12</v>
      </c>
      <c r="L29" s="7">
        <v>12</v>
      </c>
      <c r="M29" s="7">
        <v>12</v>
      </c>
      <c r="N29" s="7">
        <v>12</v>
      </c>
      <c r="O29" s="7">
        <v>105</v>
      </c>
      <c r="P29" s="7">
        <v>105</v>
      </c>
      <c r="Q29" s="7">
        <v>105</v>
      </c>
      <c r="R29" s="7">
        <v>105</v>
      </c>
      <c r="S29" s="7">
        <v>105</v>
      </c>
      <c r="T29" s="7">
        <v>105</v>
      </c>
      <c r="U29" s="7">
        <v>105</v>
      </c>
      <c r="V29" s="7">
        <v>105</v>
      </c>
      <c r="W29" s="7">
        <v>1800</v>
      </c>
      <c r="X29" s="7">
        <v>1800</v>
      </c>
      <c r="Y29" s="7">
        <v>1800</v>
      </c>
      <c r="Z29" s="7">
        <v>1800</v>
      </c>
      <c r="AA29" s="7">
        <v>1800</v>
      </c>
      <c r="AB29" s="7">
        <v>1800</v>
      </c>
      <c r="AC29" s="7">
        <v>1800</v>
      </c>
      <c r="AD29" s="7">
        <v>1800</v>
      </c>
      <c r="AE29" s="7">
        <v>0</v>
      </c>
      <c r="AF29" s="7">
        <v>0</v>
      </c>
      <c r="AG29" s="7">
        <v>0</v>
      </c>
      <c r="AH29" s="7">
        <v>0</v>
      </c>
      <c r="AI29" s="7">
        <v>0</v>
      </c>
      <c r="AJ29" s="7">
        <v>0</v>
      </c>
      <c r="AK29" s="7">
        <v>0</v>
      </c>
      <c r="AL29" s="7">
        <v>0</v>
      </c>
      <c r="AM29" s="7">
        <v>0</v>
      </c>
      <c r="AN29" s="7">
        <v>0</v>
      </c>
      <c r="AO29" s="7">
        <v>0</v>
      </c>
      <c r="AP29" s="7">
        <v>0</v>
      </c>
      <c r="AQ29" s="7">
        <v>0</v>
      </c>
      <c r="AR29" s="7">
        <v>0</v>
      </c>
      <c r="AS29" s="7">
        <v>0</v>
      </c>
      <c r="AT29" s="7">
        <v>0</v>
      </c>
      <c r="AU29" s="7">
        <v>3</v>
      </c>
      <c r="AV29" s="7">
        <v>10</v>
      </c>
      <c r="AW29" s="7">
        <v>0</v>
      </c>
    </row>
    <row r="30" spans="1:49">
      <c r="A30" s="72" t="s">
        <v>967</v>
      </c>
      <c r="B30" s="72" t="s">
        <v>453</v>
      </c>
      <c r="C30" s="72" t="s">
        <v>311</v>
      </c>
      <c r="D30" s="7" t="s">
        <v>113</v>
      </c>
      <c r="E30" s="7" t="s">
        <v>465</v>
      </c>
      <c r="F30" s="7" t="s">
        <v>39</v>
      </c>
      <c r="G30" s="7">
        <v>999</v>
      </c>
      <c r="H30" s="7">
        <v>999</v>
      </c>
      <c r="I30" s="7">
        <v>999</v>
      </c>
      <c r="J30" s="7">
        <v>999</v>
      </c>
      <c r="K30" s="7">
        <v>999</v>
      </c>
      <c r="L30" s="7">
        <v>999</v>
      </c>
      <c r="M30" s="7">
        <v>999</v>
      </c>
      <c r="N30" s="7">
        <v>999</v>
      </c>
      <c r="O30" s="7">
        <v>105</v>
      </c>
      <c r="P30" s="7">
        <v>105</v>
      </c>
      <c r="Q30" s="7">
        <v>105</v>
      </c>
      <c r="R30" s="7">
        <v>105</v>
      </c>
      <c r="S30" s="7">
        <v>105</v>
      </c>
      <c r="T30" s="7">
        <v>105</v>
      </c>
      <c r="U30" s="7">
        <v>105</v>
      </c>
      <c r="V30" s="7">
        <v>105</v>
      </c>
      <c r="W30" s="7">
        <v>600</v>
      </c>
      <c r="X30" s="7">
        <v>600</v>
      </c>
      <c r="Y30" s="7">
        <v>600</v>
      </c>
      <c r="Z30" s="7">
        <v>600</v>
      </c>
      <c r="AA30" s="7">
        <v>600</v>
      </c>
      <c r="AB30" s="7">
        <v>600</v>
      </c>
      <c r="AC30" s="7">
        <v>600</v>
      </c>
      <c r="AD30" s="7">
        <v>600</v>
      </c>
      <c r="AE30" s="7">
        <v>100</v>
      </c>
      <c r="AF30" s="7">
        <v>100</v>
      </c>
      <c r="AG30" s="7">
        <v>100</v>
      </c>
      <c r="AH30" s="7">
        <v>100</v>
      </c>
      <c r="AI30" s="7">
        <v>100</v>
      </c>
      <c r="AJ30" s="7">
        <v>100</v>
      </c>
      <c r="AK30" s="7">
        <v>100</v>
      </c>
      <c r="AL30" s="7">
        <v>100</v>
      </c>
      <c r="AM30" s="7">
        <v>0</v>
      </c>
      <c r="AN30" s="7">
        <v>0</v>
      </c>
      <c r="AO30" s="7">
        <v>0</v>
      </c>
      <c r="AP30" s="7">
        <v>0</v>
      </c>
      <c r="AQ30" s="7">
        <v>0</v>
      </c>
      <c r="AR30" s="7">
        <v>0</v>
      </c>
      <c r="AS30" s="7">
        <v>0</v>
      </c>
      <c r="AT30" s="7">
        <v>0</v>
      </c>
      <c r="AU30" s="7">
        <v>3</v>
      </c>
      <c r="AV30" s="7">
        <v>10</v>
      </c>
      <c r="AW30" s="7">
        <v>0</v>
      </c>
    </row>
    <row r="31" spans="1:49">
      <c r="A31" s="72" t="s">
        <v>967</v>
      </c>
      <c r="B31" s="72" t="s">
        <v>466</v>
      </c>
      <c r="C31" s="72" t="s">
        <v>306</v>
      </c>
      <c r="D31" s="7" t="s">
        <v>113</v>
      </c>
      <c r="E31" s="7" t="s">
        <v>465</v>
      </c>
      <c r="F31" s="7" t="s">
        <v>310</v>
      </c>
      <c r="G31" s="7">
        <v>999</v>
      </c>
      <c r="H31" s="7">
        <v>999</v>
      </c>
      <c r="I31" s="7">
        <v>999</v>
      </c>
      <c r="J31" s="7">
        <v>999</v>
      </c>
      <c r="K31" s="7">
        <v>999</v>
      </c>
      <c r="L31" s="7">
        <v>999</v>
      </c>
      <c r="M31" s="7">
        <v>999</v>
      </c>
      <c r="N31" s="7">
        <v>999</v>
      </c>
      <c r="O31" s="7">
        <v>105</v>
      </c>
      <c r="P31" s="7">
        <v>105</v>
      </c>
      <c r="Q31" s="7">
        <v>105</v>
      </c>
      <c r="R31" s="7">
        <v>105</v>
      </c>
      <c r="S31" s="7">
        <v>105</v>
      </c>
      <c r="T31" s="7">
        <v>105</v>
      </c>
      <c r="U31" s="7">
        <v>105</v>
      </c>
      <c r="V31" s="7">
        <v>105</v>
      </c>
      <c r="W31" s="7">
        <v>600</v>
      </c>
      <c r="X31" s="7">
        <v>600</v>
      </c>
      <c r="Y31" s="7">
        <v>600</v>
      </c>
      <c r="Z31" s="7">
        <v>600</v>
      </c>
      <c r="AA31" s="7">
        <v>600</v>
      </c>
      <c r="AB31" s="7">
        <v>600</v>
      </c>
      <c r="AC31" s="7">
        <v>600</v>
      </c>
      <c r="AD31" s="7">
        <v>600</v>
      </c>
      <c r="AE31" s="7">
        <v>100</v>
      </c>
      <c r="AF31" s="7">
        <v>100</v>
      </c>
      <c r="AG31" s="7">
        <v>100</v>
      </c>
      <c r="AH31" s="7">
        <v>100</v>
      </c>
      <c r="AI31" s="7">
        <v>100</v>
      </c>
      <c r="AJ31" s="7">
        <v>100</v>
      </c>
      <c r="AK31" s="7">
        <v>100</v>
      </c>
      <c r="AL31" s="7">
        <v>100</v>
      </c>
      <c r="AM31" s="7">
        <v>0</v>
      </c>
      <c r="AN31" s="7">
        <v>0</v>
      </c>
      <c r="AO31" s="7">
        <v>0</v>
      </c>
      <c r="AP31" s="7">
        <v>0</v>
      </c>
      <c r="AQ31" s="7">
        <v>0</v>
      </c>
      <c r="AR31" s="7">
        <v>0</v>
      </c>
      <c r="AS31" s="7">
        <v>0</v>
      </c>
      <c r="AT31" s="7">
        <v>0</v>
      </c>
      <c r="AU31" s="7">
        <v>3</v>
      </c>
      <c r="AV31" s="7">
        <v>10</v>
      </c>
      <c r="AW31" s="7">
        <v>0</v>
      </c>
    </row>
    <row r="32" spans="1:49">
      <c r="A32" s="72" t="s">
        <v>967</v>
      </c>
      <c r="B32" s="72" t="s">
        <v>466</v>
      </c>
      <c r="C32" s="72" t="s">
        <v>309</v>
      </c>
      <c r="D32" s="7" t="s">
        <v>897</v>
      </c>
      <c r="E32" s="7" t="s">
        <v>452</v>
      </c>
      <c r="F32" s="7" t="s">
        <v>756</v>
      </c>
      <c r="G32" s="7">
        <v>999</v>
      </c>
      <c r="H32" s="7">
        <v>999</v>
      </c>
      <c r="I32" s="7">
        <v>999</v>
      </c>
      <c r="J32" s="7">
        <v>999</v>
      </c>
      <c r="K32" s="7">
        <v>999</v>
      </c>
      <c r="L32" s="7">
        <v>999</v>
      </c>
      <c r="M32" s="7">
        <v>999</v>
      </c>
      <c r="N32" s="7">
        <v>999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7">
        <v>0</v>
      </c>
      <c r="AF32" s="7">
        <v>0</v>
      </c>
      <c r="AG32" s="7">
        <v>0</v>
      </c>
      <c r="AH32" s="7">
        <v>0</v>
      </c>
      <c r="AI32" s="7">
        <v>0</v>
      </c>
      <c r="AJ32" s="7">
        <v>0</v>
      </c>
      <c r="AK32" s="7">
        <v>0</v>
      </c>
      <c r="AL32" s="7">
        <v>0</v>
      </c>
      <c r="AM32" s="7">
        <v>75</v>
      </c>
      <c r="AN32" s="7">
        <v>75</v>
      </c>
      <c r="AO32" s="7">
        <v>75</v>
      </c>
      <c r="AP32" s="7">
        <v>75</v>
      </c>
      <c r="AQ32" s="7">
        <v>75</v>
      </c>
      <c r="AR32" s="7">
        <v>75</v>
      </c>
      <c r="AS32" s="7">
        <v>75</v>
      </c>
      <c r="AT32" s="7">
        <v>75</v>
      </c>
      <c r="AU32" s="7">
        <v>1.75</v>
      </c>
      <c r="AV32" s="7">
        <v>3</v>
      </c>
      <c r="AW32" s="7">
        <v>0</v>
      </c>
    </row>
    <row r="33" spans="1:49">
      <c r="A33" s="72" t="s">
        <v>967</v>
      </c>
      <c r="B33" s="72" t="s">
        <v>466</v>
      </c>
      <c r="C33" s="72" t="s">
        <v>311</v>
      </c>
      <c r="D33" s="7" t="s">
        <v>897</v>
      </c>
      <c r="E33" s="7" t="s">
        <v>452</v>
      </c>
      <c r="F33" s="7" t="s">
        <v>35</v>
      </c>
      <c r="G33" s="7">
        <v>999</v>
      </c>
      <c r="H33" s="7">
        <v>999</v>
      </c>
      <c r="I33" s="7">
        <v>999</v>
      </c>
      <c r="J33" s="7">
        <v>999</v>
      </c>
      <c r="K33" s="7">
        <v>999</v>
      </c>
      <c r="L33" s="7">
        <v>999</v>
      </c>
      <c r="M33" s="7">
        <v>999</v>
      </c>
      <c r="N33" s="7">
        <v>999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H33" s="7">
        <v>0</v>
      </c>
      <c r="AI33" s="7">
        <v>0</v>
      </c>
      <c r="AJ33" s="7">
        <v>0</v>
      </c>
      <c r="AK33" s="7">
        <v>0</v>
      </c>
      <c r="AL33" s="7">
        <v>0</v>
      </c>
      <c r="AM33" s="7">
        <v>75</v>
      </c>
      <c r="AN33" s="7">
        <v>75</v>
      </c>
      <c r="AO33" s="7">
        <v>75</v>
      </c>
      <c r="AP33" s="7">
        <v>75</v>
      </c>
      <c r="AQ33" s="7">
        <v>75</v>
      </c>
      <c r="AR33" s="7">
        <v>75</v>
      </c>
      <c r="AS33" s="7">
        <v>75</v>
      </c>
      <c r="AT33" s="7">
        <v>75</v>
      </c>
      <c r="AU33" s="7">
        <v>3</v>
      </c>
      <c r="AV33" s="7">
        <v>10</v>
      </c>
      <c r="AW33" s="7">
        <v>0</v>
      </c>
    </row>
    <row r="34" spans="1:49">
      <c r="A34" s="72" t="s">
        <v>967</v>
      </c>
      <c r="B34" s="72" t="s">
        <v>466</v>
      </c>
      <c r="C34" s="72" t="s">
        <v>309</v>
      </c>
      <c r="D34" s="7" t="s">
        <v>897</v>
      </c>
      <c r="E34" s="7" t="s">
        <v>465</v>
      </c>
      <c r="F34" s="7" t="s">
        <v>35</v>
      </c>
      <c r="G34" s="7">
        <v>999</v>
      </c>
      <c r="H34" s="7">
        <v>999</v>
      </c>
      <c r="I34" s="7">
        <v>999</v>
      </c>
      <c r="J34" s="7">
        <v>999</v>
      </c>
      <c r="K34" s="7">
        <v>999</v>
      </c>
      <c r="L34" s="7">
        <v>999</v>
      </c>
      <c r="M34" s="7">
        <v>999</v>
      </c>
      <c r="N34" s="7">
        <v>999</v>
      </c>
      <c r="O34" s="7">
        <v>105</v>
      </c>
      <c r="P34" s="7">
        <v>105</v>
      </c>
      <c r="Q34" s="7">
        <v>105</v>
      </c>
      <c r="R34" s="7">
        <v>105</v>
      </c>
      <c r="S34" s="7">
        <v>105</v>
      </c>
      <c r="T34" s="7">
        <v>105</v>
      </c>
      <c r="U34" s="7">
        <v>105</v>
      </c>
      <c r="V34" s="7">
        <v>105</v>
      </c>
      <c r="W34" s="7">
        <v>600</v>
      </c>
      <c r="X34" s="7">
        <v>600</v>
      </c>
      <c r="Y34" s="7">
        <v>600</v>
      </c>
      <c r="Z34" s="7">
        <v>600</v>
      </c>
      <c r="AA34" s="7">
        <v>600</v>
      </c>
      <c r="AB34" s="7">
        <v>600</v>
      </c>
      <c r="AC34" s="7">
        <v>600</v>
      </c>
      <c r="AD34" s="7">
        <v>600</v>
      </c>
      <c r="AE34" s="7">
        <v>100</v>
      </c>
      <c r="AF34" s="7">
        <v>100</v>
      </c>
      <c r="AG34" s="7">
        <v>100</v>
      </c>
      <c r="AH34" s="7">
        <v>100</v>
      </c>
      <c r="AI34" s="7">
        <v>100</v>
      </c>
      <c r="AJ34" s="7">
        <v>100</v>
      </c>
      <c r="AK34" s="7">
        <v>100</v>
      </c>
      <c r="AL34" s="7">
        <v>100</v>
      </c>
      <c r="AM34" s="7">
        <v>0</v>
      </c>
      <c r="AN34" s="7">
        <v>0</v>
      </c>
      <c r="AO34" s="7">
        <v>0</v>
      </c>
      <c r="AP34" s="7">
        <v>0</v>
      </c>
      <c r="AQ34" s="7">
        <v>0</v>
      </c>
      <c r="AR34" s="7">
        <v>0</v>
      </c>
      <c r="AS34" s="7">
        <v>0</v>
      </c>
      <c r="AT34" s="7">
        <v>0</v>
      </c>
      <c r="AU34" s="7">
        <v>3</v>
      </c>
      <c r="AV34" s="7">
        <v>10</v>
      </c>
      <c r="AW34" s="7">
        <v>0</v>
      </c>
    </row>
    <row r="35" spans="1:49">
      <c r="A35" s="72" t="s">
        <v>967</v>
      </c>
      <c r="B35" s="72" t="s">
        <v>466</v>
      </c>
      <c r="C35" s="72" t="s">
        <v>311</v>
      </c>
      <c r="D35" s="7" t="s">
        <v>897</v>
      </c>
      <c r="E35" s="7" t="s">
        <v>465</v>
      </c>
      <c r="F35" s="7" t="s">
        <v>35</v>
      </c>
      <c r="G35" s="7">
        <v>12</v>
      </c>
      <c r="H35" s="7">
        <v>12</v>
      </c>
      <c r="I35" s="7">
        <v>12</v>
      </c>
      <c r="J35" s="7">
        <v>12</v>
      </c>
      <c r="K35" s="7">
        <v>12</v>
      </c>
      <c r="L35" s="7">
        <v>12</v>
      </c>
      <c r="M35" s="7">
        <v>12</v>
      </c>
      <c r="N35" s="7">
        <v>12</v>
      </c>
      <c r="O35" s="7">
        <v>105</v>
      </c>
      <c r="P35" s="7">
        <v>105</v>
      </c>
      <c r="Q35" s="7">
        <v>105</v>
      </c>
      <c r="R35" s="7">
        <v>105</v>
      </c>
      <c r="S35" s="7">
        <v>105</v>
      </c>
      <c r="T35" s="7">
        <v>105</v>
      </c>
      <c r="U35" s="7">
        <v>105</v>
      </c>
      <c r="V35" s="7">
        <v>105</v>
      </c>
      <c r="W35" s="7">
        <v>1800</v>
      </c>
      <c r="X35" s="7">
        <v>1800</v>
      </c>
      <c r="Y35" s="7">
        <v>1800</v>
      </c>
      <c r="Z35" s="7">
        <v>1800</v>
      </c>
      <c r="AA35" s="7">
        <v>1800</v>
      </c>
      <c r="AB35" s="7">
        <v>1800</v>
      </c>
      <c r="AC35" s="7">
        <v>1800</v>
      </c>
      <c r="AD35" s="7">
        <v>1800</v>
      </c>
      <c r="AE35" s="7">
        <v>0</v>
      </c>
      <c r="AF35" s="7">
        <v>0</v>
      </c>
      <c r="AG35" s="7">
        <v>0</v>
      </c>
      <c r="AH35" s="7">
        <v>0</v>
      </c>
      <c r="AI35" s="7">
        <v>0</v>
      </c>
      <c r="AJ35" s="7">
        <v>0</v>
      </c>
      <c r="AK35" s="7">
        <v>0</v>
      </c>
      <c r="AL35" s="7">
        <v>0</v>
      </c>
      <c r="AM35" s="7">
        <v>0</v>
      </c>
      <c r="AN35" s="7">
        <v>0</v>
      </c>
      <c r="AO35" s="7">
        <v>0</v>
      </c>
      <c r="AP35" s="7">
        <v>0</v>
      </c>
      <c r="AQ35" s="7">
        <v>0</v>
      </c>
      <c r="AR35" s="7">
        <v>0</v>
      </c>
      <c r="AS35" s="7">
        <v>0</v>
      </c>
      <c r="AT35" s="7">
        <v>0</v>
      </c>
      <c r="AU35" s="7">
        <v>3</v>
      </c>
      <c r="AV35" s="7">
        <v>10</v>
      </c>
      <c r="AW35" s="7">
        <v>0</v>
      </c>
    </row>
    <row r="36" spans="1:49">
      <c r="A36" s="72" t="s">
        <v>969</v>
      </c>
      <c r="B36" s="72" t="s">
        <v>453</v>
      </c>
      <c r="C36" s="72" t="s">
        <v>1057</v>
      </c>
      <c r="D36" s="7" t="s">
        <v>897</v>
      </c>
      <c r="E36" s="7" t="s">
        <v>452</v>
      </c>
      <c r="F36" s="7" t="s">
        <v>36</v>
      </c>
      <c r="G36" s="7">
        <v>999</v>
      </c>
      <c r="H36" s="7">
        <v>999</v>
      </c>
      <c r="I36" s="7">
        <v>999</v>
      </c>
      <c r="J36" s="7">
        <v>999</v>
      </c>
      <c r="K36" s="7">
        <v>999</v>
      </c>
      <c r="L36" s="7">
        <v>999</v>
      </c>
      <c r="M36" s="7">
        <v>999</v>
      </c>
      <c r="N36" s="7">
        <v>999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  <c r="AD36" s="7">
        <v>0</v>
      </c>
      <c r="AE36" s="7">
        <v>0</v>
      </c>
      <c r="AF36" s="7">
        <v>0</v>
      </c>
      <c r="AG36" s="7">
        <v>0</v>
      </c>
      <c r="AH36" s="7">
        <v>0</v>
      </c>
      <c r="AI36" s="7">
        <v>0</v>
      </c>
      <c r="AJ36" s="7">
        <v>0</v>
      </c>
      <c r="AK36" s="7">
        <v>0</v>
      </c>
      <c r="AL36" s="7">
        <v>0</v>
      </c>
      <c r="AM36" s="7">
        <v>75</v>
      </c>
      <c r="AN36" s="7">
        <v>75</v>
      </c>
      <c r="AO36" s="7">
        <v>75</v>
      </c>
      <c r="AP36" s="7">
        <v>75</v>
      </c>
      <c r="AQ36" s="7">
        <v>75</v>
      </c>
      <c r="AR36" s="7">
        <v>75</v>
      </c>
      <c r="AS36" s="7">
        <v>75</v>
      </c>
      <c r="AT36" s="7">
        <v>75</v>
      </c>
      <c r="AU36" s="7">
        <v>3</v>
      </c>
      <c r="AV36" s="7">
        <v>10</v>
      </c>
      <c r="AW36" s="7">
        <v>0</v>
      </c>
    </row>
    <row r="37" spans="1:49">
      <c r="A37" s="72" t="s">
        <v>969</v>
      </c>
      <c r="B37" s="72" t="s">
        <v>453</v>
      </c>
      <c r="C37" s="72" t="s">
        <v>305</v>
      </c>
      <c r="D37" s="7" t="s">
        <v>897</v>
      </c>
      <c r="E37" s="7" t="s">
        <v>465</v>
      </c>
      <c r="F37" s="7" t="s">
        <v>36</v>
      </c>
      <c r="G37" s="7">
        <v>12</v>
      </c>
      <c r="H37" s="7">
        <v>12</v>
      </c>
      <c r="I37" s="7">
        <v>12</v>
      </c>
      <c r="J37" s="7">
        <v>12</v>
      </c>
      <c r="K37" s="7">
        <v>12</v>
      </c>
      <c r="L37" s="7">
        <v>12</v>
      </c>
      <c r="M37" s="7">
        <v>12</v>
      </c>
      <c r="N37" s="7">
        <v>12</v>
      </c>
      <c r="O37" s="7">
        <v>105</v>
      </c>
      <c r="P37" s="7">
        <v>105</v>
      </c>
      <c r="Q37" s="7">
        <v>105</v>
      </c>
      <c r="R37" s="7">
        <v>105</v>
      </c>
      <c r="S37" s="7">
        <v>105</v>
      </c>
      <c r="T37" s="7">
        <v>105</v>
      </c>
      <c r="U37" s="7">
        <v>105</v>
      </c>
      <c r="V37" s="7">
        <v>105</v>
      </c>
      <c r="W37" s="7">
        <v>1800</v>
      </c>
      <c r="X37" s="7">
        <v>1800</v>
      </c>
      <c r="Y37" s="7">
        <v>1800</v>
      </c>
      <c r="Z37" s="7">
        <v>1800</v>
      </c>
      <c r="AA37" s="7">
        <v>1800</v>
      </c>
      <c r="AB37" s="7">
        <v>1800</v>
      </c>
      <c r="AC37" s="7">
        <v>1800</v>
      </c>
      <c r="AD37" s="7">
        <v>1800</v>
      </c>
      <c r="AE37" s="7">
        <v>0</v>
      </c>
      <c r="AF37" s="7">
        <v>0</v>
      </c>
      <c r="AG37" s="7">
        <v>0</v>
      </c>
      <c r="AH37" s="7">
        <v>0</v>
      </c>
      <c r="AI37" s="7">
        <v>0</v>
      </c>
      <c r="AJ37" s="7">
        <v>0</v>
      </c>
      <c r="AK37" s="7">
        <v>0</v>
      </c>
      <c r="AL37" s="7">
        <v>0</v>
      </c>
      <c r="AM37" s="7">
        <v>0</v>
      </c>
      <c r="AN37" s="7">
        <v>0</v>
      </c>
      <c r="AO37" s="7">
        <v>0</v>
      </c>
      <c r="AP37" s="7">
        <v>0</v>
      </c>
      <c r="AQ37" s="7">
        <v>0</v>
      </c>
      <c r="AR37" s="7">
        <v>0</v>
      </c>
      <c r="AS37" s="7">
        <v>0</v>
      </c>
      <c r="AT37" s="7">
        <v>0</v>
      </c>
      <c r="AU37" s="7">
        <v>3</v>
      </c>
      <c r="AV37" s="7">
        <v>10</v>
      </c>
      <c r="AW37" s="7">
        <v>0</v>
      </c>
    </row>
    <row r="38" spans="1:49">
      <c r="A38" s="72" t="s">
        <v>969</v>
      </c>
      <c r="B38" s="72" t="s">
        <v>466</v>
      </c>
      <c r="C38" s="72" t="s">
        <v>305</v>
      </c>
      <c r="D38" s="7" t="s">
        <v>897</v>
      </c>
      <c r="E38" s="7" t="s">
        <v>465</v>
      </c>
      <c r="F38" s="7" t="s">
        <v>36</v>
      </c>
      <c r="G38" s="7">
        <v>999</v>
      </c>
      <c r="H38" s="7">
        <v>999</v>
      </c>
      <c r="I38" s="7">
        <v>999</v>
      </c>
      <c r="J38" s="7">
        <v>999</v>
      </c>
      <c r="K38" s="7">
        <v>999</v>
      </c>
      <c r="L38" s="7">
        <v>999</v>
      </c>
      <c r="M38" s="7">
        <v>999</v>
      </c>
      <c r="N38" s="7">
        <v>999</v>
      </c>
      <c r="O38" s="7">
        <v>105</v>
      </c>
      <c r="P38" s="7">
        <v>105</v>
      </c>
      <c r="Q38" s="7">
        <v>105</v>
      </c>
      <c r="R38" s="7">
        <v>105</v>
      </c>
      <c r="S38" s="7">
        <v>105</v>
      </c>
      <c r="T38" s="7">
        <v>105</v>
      </c>
      <c r="U38" s="7">
        <v>105</v>
      </c>
      <c r="V38" s="7">
        <v>105</v>
      </c>
      <c r="W38" s="7">
        <v>600</v>
      </c>
      <c r="X38" s="7">
        <v>600</v>
      </c>
      <c r="Y38" s="7">
        <v>600</v>
      </c>
      <c r="Z38" s="7">
        <v>600</v>
      </c>
      <c r="AA38" s="7">
        <v>600</v>
      </c>
      <c r="AB38" s="7">
        <v>600</v>
      </c>
      <c r="AC38" s="7">
        <v>600</v>
      </c>
      <c r="AD38" s="7">
        <v>600</v>
      </c>
      <c r="AE38" s="7">
        <v>100</v>
      </c>
      <c r="AF38" s="7">
        <v>100</v>
      </c>
      <c r="AG38" s="7">
        <v>100</v>
      </c>
      <c r="AH38" s="7">
        <v>100</v>
      </c>
      <c r="AI38" s="7">
        <v>100</v>
      </c>
      <c r="AJ38" s="7">
        <v>100</v>
      </c>
      <c r="AK38" s="7">
        <v>100</v>
      </c>
      <c r="AL38" s="7">
        <v>100</v>
      </c>
      <c r="AM38" s="7">
        <v>0</v>
      </c>
      <c r="AN38" s="7">
        <v>0</v>
      </c>
      <c r="AO38" s="7">
        <v>0</v>
      </c>
      <c r="AP38" s="7">
        <v>0</v>
      </c>
      <c r="AQ38" s="7">
        <v>0</v>
      </c>
      <c r="AR38" s="7">
        <v>0</v>
      </c>
      <c r="AS38" s="7">
        <v>0</v>
      </c>
      <c r="AT38" s="7">
        <v>0</v>
      </c>
      <c r="AU38" s="7">
        <v>3</v>
      </c>
      <c r="AV38" s="7">
        <v>10</v>
      </c>
      <c r="AW38" s="7">
        <v>0</v>
      </c>
    </row>
    <row r="39" spans="1:49">
      <c r="A39" s="72" t="s">
        <v>999</v>
      </c>
      <c r="B39" s="72" t="s">
        <v>453</v>
      </c>
      <c r="C39" s="72" t="s">
        <v>305</v>
      </c>
      <c r="D39" s="7" t="s">
        <v>897</v>
      </c>
      <c r="E39" s="7" t="s">
        <v>452</v>
      </c>
      <c r="F39" s="7" t="s">
        <v>39</v>
      </c>
      <c r="G39" s="7">
        <v>999</v>
      </c>
      <c r="H39" s="7">
        <v>999</v>
      </c>
      <c r="I39" s="7">
        <v>999</v>
      </c>
      <c r="J39" s="7">
        <v>999</v>
      </c>
      <c r="K39" s="7">
        <v>999</v>
      </c>
      <c r="L39" s="7">
        <v>999</v>
      </c>
      <c r="M39" s="7">
        <v>999</v>
      </c>
      <c r="N39" s="7">
        <v>999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  <c r="Z39" s="7">
        <v>0</v>
      </c>
      <c r="AA39" s="7">
        <v>0</v>
      </c>
      <c r="AB39" s="7">
        <v>0</v>
      </c>
      <c r="AC39" s="7">
        <v>0</v>
      </c>
      <c r="AD39" s="7">
        <v>0</v>
      </c>
      <c r="AE39" s="7">
        <v>0</v>
      </c>
      <c r="AF39" s="7">
        <v>0</v>
      </c>
      <c r="AG39" s="7">
        <v>0</v>
      </c>
      <c r="AH39" s="7">
        <v>0</v>
      </c>
      <c r="AI39" s="7">
        <v>0</v>
      </c>
      <c r="AJ39" s="7">
        <v>0</v>
      </c>
      <c r="AK39" s="7">
        <v>0</v>
      </c>
      <c r="AL39" s="7">
        <v>0</v>
      </c>
      <c r="AM39" s="7">
        <v>75</v>
      </c>
      <c r="AN39" s="7">
        <v>75</v>
      </c>
      <c r="AO39" s="7">
        <v>75</v>
      </c>
      <c r="AP39" s="7">
        <v>75</v>
      </c>
      <c r="AQ39" s="7">
        <v>75</v>
      </c>
      <c r="AR39" s="7">
        <v>75</v>
      </c>
      <c r="AS39" s="7">
        <v>75</v>
      </c>
      <c r="AT39" s="7">
        <v>75</v>
      </c>
      <c r="AU39" s="7">
        <v>3</v>
      </c>
      <c r="AV39" s="7">
        <v>10</v>
      </c>
      <c r="AW39" s="7">
        <v>0</v>
      </c>
    </row>
    <row r="40" spans="1:49">
      <c r="A40" s="72" t="s">
        <v>999</v>
      </c>
      <c r="B40" s="72" t="s">
        <v>466</v>
      </c>
      <c r="C40" s="72" t="s">
        <v>305</v>
      </c>
      <c r="D40" s="7" t="s">
        <v>897</v>
      </c>
      <c r="E40" s="7" t="s">
        <v>465</v>
      </c>
      <c r="F40" s="7" t="s">
        <v>39</v>
      </c>
      <c r="G40" s="7">
        <v>999</v>
      </c>
      <c r="H40" s="7">
        <v>999</v>
      </c>
      <c r="I40" s="7">
        <v>999</v>
      </c>
      <c r="J40" s="7">
        <v>999</v>
      </c>
      <c r="K40" s="7">
        <v>999</v>
      </c>
      <c r="L40" s="7">
        <v>999</v>
      </c>
      <c r="M40" s="7">
        <v>999</v>
      </c>
      <c r="N40" s="7">
        <v>999</v>
      </c>
      <c r="O40" s="7">
        <v>105</v>
      </c>
      <c r="P40" s="7">
        <v>105</v>
      </c>
      <c r="Q40" s="7">
        <v>105</v>
      </c>
      <c r="R40" s="7">
        <v>105</v>
      </c>
      <c r="S40" s="7">
        <v>105</v>
      </c>
      <c r="T40" s="7">
        <v>105</v>
      </c>
      <c r="U40" s="7">
        <v>105</v>
      </c>
      <c r="V40" s="7">
        <v>105</v>
      </c>
      <c r="W40" s="7">
        <v>600</v>
      </c>
      <c r="X40" s="7">
        <v>600</v>
      </c>
      <c r="Y40" s="7">
        <v>600</v>
      </c>
      <c r="Z40" s="7">
        <v>600</v>
      </c>
      <c r="AA40" s="7">
        <v>600</v>
      </c>
      <c r="AB40" s="7">
        <v>600</v>
      </c>
      <c r="AC40" s="7">
        <v>600</v>
      </c>
      <c r="AD40" s="7">
        <v>600</v>
      </c>
      <c r="AE40" s="7">
        <v>100</v>
      </c>
      <c r="AF40" s="7">
        <v>100</v>
      </c>
      <c r="AG40" s="7">
        <v>100</v>
      </c>
      <c r="AH40" s="7">
        <v>100</v>
      </c>
      <c r="AI40" s="7">
        <v>100</v>
      </c>
      <c r="AJ40" s="7">
        <v>100</v>
      </c>
      <c r="AK40" s="7">
        <v>100</v>
      </c>
      <c r="AL40" s="7">
        <v>100</v>
      </c>
      <c r="AM40" s="7">
        <v>0</v>
      </c>
      <c r="AN40" s="7">
        <v>0</v>
      </c>
      <c r="AO40" s="7">
        <v>0</v>
      </c>
      <c r="AP40" s="7">
        <v>0</v>
      </c>
      <c r="AQ40" s="7">
        <v>0</v>
      </c>
      <c r="AR40" s="7">
        <v>0</v>
      </c>
      <c r="AS40" s="7">
        <v>0</v>
      </c>
      <c r="AT40" s="7">
        <v>0</v>
      </c>
      <c r="AU40" s="7">
        <v>3</v>
      </c>
      <c r="AV40" s="7">
        <v>10</v>
      </c>
      <c r="AW40" s="7">
        <v>0</v>
      </c>
    </row>
    <row r="41" spans="1:49">
      <c r="A41" s="72" t="s">
        <v>999</v>
      </c>
      <c r="B41" s="72" t="s">
        <v>466</v>
      </c>
      <c r="C41" s="72" t="s">
        <v>305</v>
      </c>
      <c r="D41" s="7" t="s">
        <v>897</v>
      </c>
      <c r="E41" s="7" t="s">
        <v>465</v>
      </c>
      <c r="F41" s="7" t="s">
        <v>39</v>
      </c>
      <c r="G41" s="7">
        <v>12</v>
      </c>
      <c r="H41" s="7">
        <v>12</v>
      </c>
      <c r="I41" s="7">
        <v>12</v>
      </c>
      <c r="J41" s="7">
        <v>12</v>
      </c>
      <c r="K41" s="7">
        <v>12</v>
      </c>
      <c r="L41" s="7">
        <v>12</v>
      </c>
      <c r="M41" s="7">
        <v>12</v>
      </c>
      <c r="N41" s="7">
        <v>12</v>
      </c>
      <c r="O41" s="7">
        <v>105</v>
      </c>
      <c r="P41" s="7">
        <v>105</v>
      </c>
      <c r="Q41" s="7">
        <v>105</v>
      </c>
      <c r="R41" s="7">
        <v>105</v>
      </c>
      <c r="S41" s="7">
        <v>105</v>
      </c>
      <c r="T41" s="7">
        <v>105</v>
      </c>
      <c r="U41" s="7">
        <v>105</v>
      </c>
      <c r="V41" s="7">
        <v>105</v>
      </c>
      <c r="W41" s="7">
        <v>1800</v>
      </c>
      <c r="X41" s="7">
        <v>1800</v>
      </c>
      <c r="Y41" s="7">
        <v>1800</v>
      </c>
      <c r="Z41" s="7">
        <v>1800</v>
      </c>
      <c r="AA41" s="7">
        <v>1800</v>
      </c>
      <c r="AB41" s="7">
        <v>1800</v>
      </c>
      <c r="AC41" s="7">
        <v>1800</v>
      </c>
      <c r="AD41" s="7">
        <v>1800</v>
      </c>
      <c r="AE41" s="7">
        <v>0</v>
      </c>
      <c r="AF41" s="7">
        <v>0</v>
      </c>
      <c r="AG41" s="7">
        <v>0</v>
      </c>
      <c r="AH41" s="7">
        <v>0</v>
      </c>
      <c r="AI41" s="7">
        <v>0</v>
      </c>
      <c r="AJ41" s="7">
        <v>0</v>
      </c>
      <c r="AK41" s="7">
        <v>0</v>
      </c>
      <c r="AL41" s="7">
        <v>0</v>
      </c>
      <c r="AM41" s="7">
        <v>0</v>
      </c>
      <c r="AN41" s="7">
        <v>0</v>
      </c>
      <c r="AO41" s="7">
        <v>0</v>
      </c>
      <c r="AP41" s="7">
        <v>0</v>
      </c>
      <c r="AQ41" s="7">
        <v>0</v>
      </c>
      <c r="AR41" s="7">
        <v>0</v>
      </c>
      <c r="AS41" s="7">
        <v>0</v>
      </c>
      <c r="AT41" s="7">
        <v>0</v>
      </c>
      <c r="AU41" s="7">
        <v>3</v>
      </c>
      <c r="AV41" s="7">
        <v>10</v>
      </c>
      <c r="AW41" s="7">
        <v>0</v>
      </c>
    </row>
    <row r="42" spans="1:49">
      <c r="A42" s="72" t="s">
        <v>999</v>
      </c>
      <c r="B42" s="72" t="s">
        <v>453</v>
      </c>
      <c r="C42" s="72" t="s">
        <v>306</v>
      </c>
      <c r="D42" s="7" t="s">
        <v>897</v>
      </c>
      <c r="E42" s="7" t="s">
        <v>452</v>
      </c>
      <c r="F42" s="7" t="s">
        <v>310</v>
      </c>
      <c r="G42" s="7">
        <v>999</v>
      </c>
      <c r="H42" s="7">
        <v>999</v>
      </c>
      <c r="I42" s="7">
        <v>999</v>
      </c>
      <c r="J42" s="7">
        <v>999</v>
      </c>
      <c r="K42" s="7">
        <v>999</v>
      </c>
      <c r="L42" s="7">
        <v>999</v>
      </c>
      <c r="M42" s="7">
        <v>999</v>
      </c>
      <c r="N42" s="7">
        <v>999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0</v>
      </c>
      <c r="AA42" s="7">
        <v>0</v>
      </c>
      <c r="AB42" s="7">
        <v>0</v>
      </c>
      <c r="AC42" s="7">
        <v>0</v>
      </c>
      <c r="AD42" s="7">
        <v>0</v>
      </c>
      <c r="AE42" s="7">
        <v>0</v>
      </c>
      <c r="AF42" s="7">
        <v>0</v>
      </c>
      <c r="AG42" s="7">
        <v>0</v>
      </c>
      <c r="AH42" s="7">
        <v>0</v>
      </c>
      <c r="AI42" s="7">
        <v>0</v>
      </c>
      <c r="AJ42" s="7">
        <v>0</v>
      </c>
      <c r="AK42" s="7">
        <v>0</v>
      </c>
      <c r="AL42" s="7">
        <v>0</v>
      </c>
      <c r="AM42" s="7">
        <v>75</v>
      </c>
      <c r="AN42" s="7">
        <v>75</v>
      </c>
      <c r="AO42" s="7">
        <v>75</v>
      </c>
      <c r="AP42" s="7">
        <v>75</v>
      </c>
      <c r="AQ42" s="7">
        <v>75</v>
      </c>
      <c r="AR42" s="7">
        <v>75</v>
      </c>
      <c r="AS42" s="7">
        <v>75</v>
      </c>
      <c r="AT42" s="7">
        <v>75</v>
      </c>
      <c r="AU42" s="7">
        <v>3</v>
      </c>
      <c r="AV42" s="7">
        <v>10</v>
      </c>
      <c r="AW42" s="7">
        <v>0</v>
      </c>
    </row>
    <row r="43" spans="1:49">
      <c r="A43" s="72" t="s">
        <v>971</v>
      </c>
      <c r="B43" s="72" t="s">
        <v>466</v>
      </c>
      <c r="C43" s="72" t="s">
        <v>311</v>
      </c>
      <c r="D43" s="7" t="s">
        <v>897</v>
      </c>
      <c r="E43" s="7" t="s">
        <v>465</v>
      </c>
      <c r="F43" s="7" t="s">
        <v>310</v>
      </c>
      <c r="G43" s="7">
        <v>999</v>
      </c>
      <c r="H43" s="7">
        <v>999</v>
      </c>
      <c r="I43" s="7">
        <v>999</v>
      </c>
      <c r="J43" s="7">
        <v>999</v>
      </c>
      <c r="K43" s="7">
        <v>999</v>
      </c>
      <c r="L43" s="7">
        <v>999</v>
      </c>
      <c r="M43" s="7">
        <v>999</v>
      </c>
      <c r="N43" s="7">
        <v>999</v>
      </c>
      <c r="O43" s="7">
        <v>105</v>
      </c>
      <c r="P43" s="7">
        <v>105</v>
      </c>
      <c r="Q43" s="7">
        <v>105</v>
      </c>
      <c r="R43" s="7">
        <v>105</v>
      </c>
      <c r="S43" s="7">
        <v>105</v>
      </c>
      <c r="T43" s="7">
        <v>105</v>
      </c>
      <c r="U43" s="7">
        <v>105</v>
      </c>
      <c r="V43" s="7">
        <v>105</v>
      </c>
      <c r="W43" s="7">
        <v>600</v>
      </c>
      <c r="X43" s="7">
        <v>600</v>
      </c>
      <c r="Y43" s="7">
        <v>600</v>
      </c>
      <c r="Z43" s="7">
        <v>600</v>
      </c>
      <c r="AA43" s="7">
        <v>600</v>
      </c>
      <c r="AB43" s="7">
        <v>600</v>
      </c>
      <c r="AC43" s="7">
        <v>600</v>
      </c>
      <c r="AD43" s="7">
        <v>600</v>
      </c>
      <c r="AE43" s="7">
        <v>100</v>
      </c>
      <c r="AF43" s="7">
        <v>100</v>
      </c>
      <c r="AG43" s="7">
        <v>100</v>
      </c>
      <c r="AH43" s="7">
        <v>100</v>
      </c>
      <c r="AI43" s="7">
        <v>100</v>
      </c>
      <c r="AJ43" s="7">
        <v>100</v>
      </c>
      <c r="AK43" s="7">
        <v>100</v>
      </c>
      <c r="AL43" s="7">
        <v>100</v>
      </c>
      <c r="AM43" s="7">
        <v>0</v>
      </c>
      <c r="AN43" s="7">
        <v>0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3</v>
      </c>
      <c r="AV43" s="7">
        <v>10</v>
      </c>
      <c r="AW43" s="7">
        <v>0</v>
      </c>
    </row>
    <row r="44" spans="1:49">
      <c r="A44" s="72" t="s">
        <v>971</v>
      </c>
      <c r="B44" s="72" t="s">
        <v>466</v>
      </c>
      <c r="C44" s="72" t="s">
        <v>311</v>
      </c>
      <c r="D44" s="7" t="s">
        <v>897</v>
      </c>
      <c r="E44" s="7" t="s">
        <v>465</v>
      </c>
      <c r="F44" s="7" t="s">
        <v>310</v>
      </c>
      <c r="G44" s="7">
        <v>12</v>
      </c>
      <c r="H44" s="7">
        <v>12</v>
      </c>
      <c r="I44" s="7">
        <v>12</v>
      </c>
      <c r="J44" s="7">
        <v>12</v>
      </c>
      <c r="K44" s="7">
        <v>12</v>
      </c>
      <c r="L44" s="7">
        <v>12</v>
      </c>
      <c r="M44" s="7">
        <v>12</v>
      </c>
      <c r="N44" s="7">
        <v>12</v>
      </c>
      <c r="O44" s="7">
        <v>105</v>
      </c>
      <c r="P44" s="7">
        <v>105</v>
      </c>
      <c r="Q44" s="7">
        <v>105</v>
      </c>
      <c r="R44" s="7">
        <v>105</v>
      </c>
      <c r="S44" s="7">
        <v>105</v>
      </c>
      <c r="T44" s="7">
        <v>105</v>
      </c>
      <c r="U44" s="7">
        <v>105</v>
      </c>
      <c r="V44" s="7">
        <v>105</v>
      </c>
      <c r="W44" s="7">
        <v>1800</v>
      </c>
      <c r="X44" s="7">
        <v>1800</v>
      </c>
      <c r="Y44" s="7">
        <v>1800</v>
      </c>
      <c r="Z44" s="7">
        <v>1800</v>
      </c>
      <c r="AA44" s="7">
        <v>1800</v>
      </c>
      <c r="AB44" s="7">
        <v>1800</v>
      </c>
      <c r="AC44" s="7">
        <v>1800</v>
      </c>
      <c r="AD44" s="7">
        <v>1800</v>
      </c>
      <c r="AE44" s="7">
        <v>0</v>
      </c>
      <c r="AF44" s="7">
        <v>0</v>
      </c>
      <c r="AG44" s="7">
        <v>0</v>
      </c>
      <c r="AH44" s="7">
        <v>0</v>
      </c>
      <c r="AI44" s="7">
        <v>0</v>
      </c>
      <c r="AJ44" s="7">
        <v>0</v>
      </c>
      <c r="AK44" s="7">
        <v>0</v>
      </c>
      <c r="AL44" s="7">
        <v>0</v>
      </c>
      <c r="AM44" s="7">
        <v>0</v>
      </c>
      <c r="AN44" s="7">
        <v>0</v>
      </c>
      <c r="AO44" s="7">
        <v>0</v>
      </c>
      <c r="AP44" s="7">
        <v>0</v>
      </c>
      <c r="AQ44" s="7">
        <v>0</v>
      </c>
      <c r="AR44" s="7">
        <v>0</v>
      </c>
      <c r="AS44" s="7">
        <v>0</v>
      </c>
      <c r="AT44" s="7">
        <v>0</v>
      </c>
      <c r="AU44" s="7">
        <v>3</v>
      </c>
      <c r="AV44" s="7">
        <v>10</v>
      </c>
      <c r="AW44" s="7">
        <v>0</v>
      </c>
    </row>
    <row r="45" spans="1:49">
      <c r="A45" s="72" t="s">
        <v>974</v>
      </c>
      <c r="B45" s="72" t="s">
        <v>453</v>
      </c>
      <c r="C45" s="72" t="s">
        <v>305</v>
      </c>
    </row>
    <row r="46" spans="1:49">
      <c r="A46" s="72" t="s">
        <v>974</v>
      </c>
      <c r="B46" s="72" t="s">
        <v>466</v>
      </c>
      <c r="C46" s="72" t="s">
        <v>305</v>
      </c>
    </row>
    <row r="47" spans="1:49">
      <c r="A47" s="72" t="s">
        <v>997</v>
      </c>
      <c r="B47" s="72" t="s">
        <v>466</v>
      </c>
      <c r="C47" s="72" t="s">
        <v>305</v>
      </c>
    </row>
    <row r="48" spans="1:49">
      <c r="A48" s="72" t="s">
        <v>997</v>
      </c>
      <c r="B48" s="72" t="s">
        <v>453</v>
      </c>
      <c r="C48" s="72" t="s">
        <v>306</v>
      </c>
    </row>
    <row r="49" spans="1:49">
      <c r="A49" s="72" t="s">
        <v>997</v>
      </c>
      <c r="B49" s="72" t="s">
        <v>466</v>
      </c>
      <c r="C49" s="72" t="s">
        <v>306</v>
      </c>
    </row>
    <row r="50" spans="1:49">
      <c r="A50" s="72" t="s">
        <v>997</v>
      </c>
      <c r="B50" s="72" t="s">
        <v>466</v>
      </c>
      <c r="C50" s="72" t="s">
        <v>306</v>
      </c>
    </row>
    <row r="51" spans="1:49">
      <c r="A51" s="72" t="s">
        <v>997</v>
      </c>
      <c r="B51" s="72" t="s">
        <v>453</v>
      </c>
      <c r="C51" s="72" t="s">
        <v>309</v>
      </c>
    </row>
    <row r="52" spans="1:49">
      <c r="A52" s="72" t="s">
        <v>997</v>
      </c>
      <c r="B52" s="72" t="s">
        <v>466</v>
      </c>
      <c r="C52" s="72" t="s">
        <v>309</v>
      </c>
    </row>
    <row r="53" spans="1:49">
      <c r="A53" s="72" t="s">
        <v>997</v>
      </c>
      <c r="B53" s="72" t="s">
        <v>466</v>
      </c>
      <c r="C53" s="72" t="s">
        <v>309</v>
      </c>
    </row>
    <row r="54" spans="1:49">
      <c r="A54" s="72" t="s">
        <v>997</v>
      </c>
      <c r="B54" s="72" t="s">
        <v>453</v>
      </c>
      <c r="C54" s="72" t="s">
        <v>311</v>
      </c>
    </row>
    <row r="55" spans="1:49">
      <c r="A55" s="72" t="s">
        <v>997</v>
      </c>
      <c r="B55" s="72" t="s">
        <v>466</v>
      </c>
      <c r="C55" s="72" t="s">
        <v>311</v>
      </c>
    </row>
    <row r="56" spans="1:49">
      <c r="A56" s="72" t="s">
        <v>997</v>
      </c>
      <c r="B56" s="72" t="s">
        <v>466</v>
      </c>
      <c r="C56" s="72" t="s">
        <v>311</v>
      </c>
    </row>
    <row r="57" spans="1:49">
      <c r="A57" s="72" t="s">
        <v>999</v>
      </c>
      <c r="B57" s="72" t="s">
        <v>466</v>
      </c>
      <c r="C57" s="72" t="s">
        <v>306</v>
      </c>
    </row>
    <row r="58" spans="1:49">
      <c r="A58" s="72" t="s">
        <v>999</v>
      </c>
      <c r="B58" s="72" t="s">
        <v>466</v>
      </c>
      <c r="C58" s="72" t="s">
        <v>306</v>
      </c>
    </row>
    <row r="59" spans="1:49">
      <c r="A59" s="72" t="s">
        <v>974</v>
      </c>
      <c r="B59" s="72" t="s">
        <v>466</v>
      </c>
      <c r="C59" s="72" t="s">
        <v>305</v>
      </c>
    </row>
    <row r="60" spans="1:49">
      <c r="A60" s="72" t="s">
        <v>974</v>
      </c>
      <c r="B60" s="72" t="s">
        <v>453</v>
      </c>
      <c r="C60" s="72" t="s">
        <v>306</v>
      </c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</row>
    <row r="61" spans="1:49">
      <c r="A61" s="72" t="s">
        <v>974</v>
      </c>
      <c r="B61" s="72" t="s">
        <v>466</v>
      </c>
      <c r="C61" s="72" t="s">
        <v>311</v>
      </c>
    </row>
    <row r="62" spans="1:49">
      <c r="A62" s="72" t="s">
        <v>974</v>
      </c>
      <c r="B62" s="72" t="s">
        <v>466</v>
      </c>
      <c r="C62" s="72" t="s">
        <v>311</v>
      </c>
    </row>
    <row r="63" spans="1:49">
      <c r="A63" s="72" t="s">
        <v>974</v>
      </c>
      <c r="B63" s="72" t="s">
        <v>466</v>
      </c>
      <c r="C63" s="72" t="s">
        <v>306</v>
      </c>
    </row>
    <row r="64" spans="1:49">
      <c r="A64" s="72" t="s">
        <v>974</v>
      </c>
      <c r="B64" s="72" t="s">
        <v>466</v>
      </c>
      <c r="C64" s="72" t="s">
        <v>306</v>
      </c>
    </row>
    <row r="65" spans="1:3">
      <c r="A65" s="72" t="s">
        <v>974</v>
      </c>
      <c r="B65" s="72" t="s">
        <v>453</v>
      </c>
      <c r="C65" s="72" t="s">
        <v>309</v>
      </c>
    </row>
    <row r="66" spans="1:3">
      <c r="A66" s="72" t="s">
        <v>974</v>
      </c>
      <c r="B66" s="72" t="s">
        <v>466</v>
      </c>
      <c r="C66" s="72" t="s">
        <v>309</v>
      </c>
    </row>
    <row r="67" spans="1:3">
      <c r="A67" s="72" t="s">
        <v>974</v>
      </c>
      <c r="B67" s="72" t="s">
        <v>466</v>
      </c>
      <c r="C67" s="72" t="s">
        <v>309</v>
      </c>
    </row>
    <row r="68" spans="1:3">
      <c r="A68" s="72" t="s">
        <v>974</v>
      </c>
      <c r="B68" s="72" t="s">
        <v>453</v>
      </c>
      <c r="C68" s="72" t="s">
        <v>311</v>
      </c>
    </row>
    <row r="69" spans="1:3">
      <c r="A69" s="72" t="s">
        <v>976</v>
      </c>
      <c r="B69" s="72" t="s">
        <v>453</v>
      </c>
      <c r="C69" s="72" t="s">
        <v>1057</v>
      </c>
    </row>
    <row r="70" spans="1:3">
      <c r="A70" s="72" t="s">
        <v>976</v>
      </c>
      <c r="B70" s="72" t="s">
        <v>453</v>
      </c>
      <c r="C70" s="72" t="s">
        <v>305</v>
      </c>
    </row>
    <row r="71" spans="1:3">
      <c r="A71" s="72" t="s">
        <v>1001</v>
      </c>
      <c r="B71" s="72" t="s">
        <v>453</v>
      </c>
      <c r="C71" s="72" t="s">
        <v>305</v>
      </c>
    </row>
    <row r="72" spans="1:3">
      <c r="A72" s="72" t="s">
        <v>1001</v>
      </c>
      <c r="B72" s="72" t="s">
        <v>466</v>
      </c>
      <c r="C72" s="72" t="s">
        <v>305</v>
      </c>
    </row>
    <row r="73" spans="1:3">
      <c r="A73" s="72" t="s">
        <v>1001</v>
      </c>
      <c r="B73" s="72" t="s">
        <v>466</v>
      </c>
      <c r="C73" s="72" t="s">
        <v>305</v>
      </c>
    </row>
    <row r="74" spans="1:3">
      <c r="A74" s="72" t="s">
        <v>1001</v>
      </c>
      <c r="B74" s="72" t="s">
        <v>453</v>
      </c>
      <c r="C74" s="72" t="s">
        <v>306</v>
      </c>
    </row>
    <row r="75" spans="1:3">
      <c r="A75" s="72" t="s">
        <v>976</v>
      </c>
      <c r="B75" s="72" t="s">
        <v>466</v>
      </c>
      <c r="C75" s="72" t="s">
        <v>305</v>
      </c>
    </row>
    <row r="76" spans="1:3">
      <c r="A76" s="72" t="s">
        <v>976</v>
      </c>
      <c r="B76" s="72" t="s">
        <v>466</v>
      </c>
      <c r="C76" s="72" t="s">
        <v>305</v>
      </c>
    </row>
    <row r="77" spans="1:3">
      <c r="A77" s="72" t="s">
        <v>976</v>
      </c>
      <c r="B77" s="72" t="s">
        <v>453</v>
      </c>
      <c r="C77" s="72" t="s">
        <v>306</v>
      </c>
    </row>
    <row r="78" spans="1:3">
      <c r="A78" s="72" t="s">
        <v>976</v>
      </c>
      <c r="B78" s="72" t="s">
        <v>466</v>
      </c>
      <c r="C78" s="72" t="s">
        <v>306</v>
      </c>
    </row>
    <row r="79" spans="1:3">
      <c r="A79" s="72" t="s">
        <v>976</v>
      </c>
      <c r="B79" s="72" t="s">
        <v>466</v>
      </c>
      <c r="C79" s="72" t="s">
        <v>306</v>
      </c>
    </row>
    <row r="80" spans="1:3">
      <c r="A80" s="72" t="s">
        <v>976</v>
      </c>
      <c r="B80" s="72" t="s">
        <v>453</v>
      </c>
      <c r="C80" s="72" t="s">
        <v>309</v>
      </c>
    </row>
    <row r="81" spans="1:3">
      <c r="A81" s="72" t="s">
        <v>976</v>
      </c>
      <c r="B81" s="72" t="s">
        <v>466</v>
      </c>
      <c r="C81" s="72" t="s">
        <v>309</v>
      </c>
    </row>
    <row r="82" spans="1:3">
      <c r="A82" s="72" t="s">
        <v>976</v>
      </c>
      <c r="B82" s="72" t="s">
        <v>466</v>
      </c>
      <c r="C82" s="72" t="s">
        <v>309</v>
      </c>
    </row>
    <row r="83" spans="1:3">
      <c r="A83" s="72" t="s">
        <v>976</v>
      </c>
      <c r="B83" s="72" t="s">
        <v>453</v>
      </c>
      <c r="C83" s="72" t="s">
        <v>311</v>
      </c>
    </row>
    <row r="84" spans="1:3">
      <c r="A84" s="72" t="s">
        <v>976</v>
      </c>
      <c r="B84" s="72" t="s">
        <v>466</v>
      </c>
      <c r="C84" s="72" t="s">
        <v>311</v>
      </c>
    </row>
    <row r="85" spans="1:3">
      <c r="A85" s="72" t="s">
        <v>976</v>
      </c>
      <c r="B85" s="72" t="s">
        <v>466</v>
      </c>
      <c r="C85" s="72" t="s">
        <v>311</v>
      </c>
    </row>
    <row r="86" spans="1:3">
      <c r="A86" s="72" t="s">
        <v>978</v>
      </c>
      <c r="B86" s="72" t="s">
        <v>453</v>
      </c>
      <c r="C86" s="72" t="s">
        <v>305</v>
      </c>
    </row>
    <row r="87" spans="1:3">
      <c r="A87" s="72" t="s">
        <v>978</v>
      </c>
      <c r="B87" s="72" t="s">
        <v>466</v>
      </c>
      <c r="C87" s="72" t="s">
        <v>305</v>
      </c>
    </row>
    <row r="88" spans="1:3">
      <c r="A88" s="72" t="s">
        <v>978</v>
      </c>
      <c r="B88" s="72" t="s">
        <v>466</v>
      </c>
      <c r="C88" s="72" t="s">
        <v>305</v>
      </c>
    </row>
    <row r="89" spans="1:3">
      <c r="A89" s="72" t="s">
        <v>978</v>
      </c>
      <c r="B89" s="72" t="s">
        <v>453</v>
      </c>
      <c r="C89" s="72" t="s">
        <v>306</v>
      </c>
    </row>
    <row r="90" spans="1:3">
      <c r="A90" s="72" t="s">
        <v>978</v>
      </c>
      <c r="B90" s="72" t="s">
        <v>466</v>
      </c>
      <c r="C90" s="72" t="s">
        <v>306</v>
      </c>
    </row>
    <row r="91" spans="1:3">
      <c r="A91" s="72" t="s">
        <v>999</v>
      </c>
      <c r="B91" s="72" t="s">
        <v>453</v>
      </c>
      <c r="C91" s="72" t="s">
        <v>309</v>
      </c>
    </row>
    <row r="92" spans="1:3">
      <c r="A92" s="72" t="s">
        <v>999</v>
      </c>
      <c r="B92" s="72" t="s">
        <v>466</v>
      </c>
      <c r="C92" s="72" t="s">
        <v>309</v>
      </c>
    </row>
    <row r="93" spans="1:3">
      <c r="A93" s="72" t="s">
        <v>999</v>
      </c>
      <c r="B93" s="72" t="s">
        <v>466</v>
      </c>
      <c r="C93" s="72" t="s">
        <v>309</v>
      </c>
    </row>
    <row r="94" spans="1:3">
      <c r="A94" s="72" t="s">
        <v>999</v>
      </c>
      <c r="B94" s="72" t="s">
        <v>453</v>
      </c>
      <c r="C94" s="72" t="s">
        <v>311</v>
      </c>
    </row>
    <row r="95" spans="1:3">
      <c r="A95" s="72" t="s">
        <v>978</v>
      </c>
      <c r="B95" s="72" t="s">
        <v>466</v>
      </c>
      <c r="C95" s="72" t="s">
        <v>306</v>
      </c>
    </row>
    <row r="96" spans="1:3">
      <c r="A96" s="72" t="s">
        <v>978</v>
      </c>
      <c r="B96" s="72" t="s">
        <v>453</v>
      </c>
      <c r="C96" s="72" t="s">
        <v>309</v>
      </c>
    </row>
    <row r="97" spans="1:3">
      <c r="A97" s="72" t="s">
        <v>978</v>
      </c>
      <c r="B97" s="72" t="s">
        <v>466</v>
      </c>
      <c r="C97" s="72" t="s">
        <v>309</v>
      </c>
    </row>
    <row r="98" spans="1:3">
      <c r="A98" s="72" t="s">
        <v>978</v>
      </c>
      <c r="B98" s="72" t="s">
        <v>466</v>
      </c>
      <c r="C98" s="72" t="s">
        <v>309</v>
      </c>
    </row>
    <row r="99" spans="1:3">
      <c r="A99" s="72" t="s">
        <v>999</v>
      </c>
      <c r="B99" s="72" t="s">
        <v>466</v>
      </c>
      <c r="C99" s="72" t="s">
        <v>311</v>
      </c>
    </row>
    <row r="100" spans="1:3">
      <c r="A100" s="72" t="s">
        <v>999</v>
      </c>
      <c r="B100" s="72" t="s">
        <v>466</v>
      </c>
      <c r="C100" s="72" t="s">
        <v>311</v>
      </c>
    </row>
    <row r="101" spans="1:3">
      <c r="A101" s="72" t="s">
        <v>1001</v>
      </c>
      <c r="B101" s="72" t="s">
        <v>466</v>
      </c>
      <c r="C101" s="72" t="s">
        <v>306</v>
      </c>
    </row>
    <row r="102" spans="1:3">
      <c r="A102" s="72" t="s">
        <v>1001</v>
      </c>
      <c r="B102" s="72" t="s">
        <v>466</v>
      </c>
      <c r="C102" s="72" t="s">
        <v>306</v>
      </c>
    </row>
    <row r="103" spans="1:3">
      <c r="A103" s="72" t="s">
        <v>978</v>
      </c>
      <c r="B103" s="72" t="s">
        <v>453</v>
      </c>
      <c r="C103" s="72" t="s">
        <v>311</v>
      </c>
    </row>
    <row r="104" spans="1:3">
      <c r="A104" s="72" t="s">
        <v>978</v>
      </c>
      <c r="B104" s="72" t="s">
        <v>466</v>
      </c>
      <c r="C104" s="72" t="s">
        <v>311</v>
      </c>
    </row>
    <row r="105" spans="1:3">
      <c r="A105" s="72" t="s">
        <v>978</v>
      </c>
      <c r="B105" s="72" t="s">
        <v>466</v>
      </c>
      <c r="C105" s="72" t="s">
        <v>311</v>
      </c>
    </row>
    <row r="106" spans="1:3">
      <c r="A106" s="72" t="s">
        <v>980</v>
      </c>
      <c r="B106" s="72" t="s">
        <v>453</v>
      </c>
      <c r="C106" s="72" t="s">
        <v>1057</v>
      </c>
    </row>
    <row r="107" spans="1:3">
      <c r="A107" s="72" t="s">
        <v>1001</v>
      </c>
      <c r="B107" s="72" t="s">
        <v>453</v>
      </c>
      <c r="C107" s="72" t="s">
        <v>309</v>
      </c>
    </row>
    <row r="108" spans="1:3">
      <c r="A108" s="72" t="s">
        <v>1001</v>
      </c>
      <c r="B108" s="72" t="s">
        <v>466</v>
      </c>
      <c r="C108" s="72" t="s">
        <v>309</v>
      </c>
    </row>
    <row r="109" spans="1:3">
      <c r="A109" s="72" t="s">
        <v>1001</v>
      </c>
      <c r="B109" s="72" t="s">
        <v>466</v>
      </c>
      <c r="C109" s="72" t="s">
        <v>309</v>
      </c>
    </row>
    <row r="110" spans="1:3">
      <c r="A110" s="72" t="s">
        <v>1001</v>
      </c>
      <c r="B110" s="72" t="s">
        <v>453</v>
      </c>
      <c r="C110" s="72" t="s">
        <v>311</v>
      </c>
    </row>
    <row r="111" spans="1:3">
      <c r="A111" s="72" t="s">
        <v>969</v>
      </c>
      <c r="B111" s="72" t="s">
        <v>466</v>
      </c>
      <c r="C111" s="72" t="s">
        <v>305</v>
      </c>
    </row>
    <row r="112" spans="1:3">
      <c r="A112" s="72" t="s">
        <v>969</v>
      </c>
      <c r="B112" s="72" t="s">
        <v>453</v>
      </c>
      <c r="C112" s="72" t="s">
        <v>306</v>
      </c>
    </row>
    <row r="113" spans="1:3">
      <c r="A113" s="72" t="s">
        <v>969</v>
      </c>
      <c r="B113" s="72" t="s">
        <v>466</v>
      </c>
      <c r="C113" s="72" t="s">
        <v>306</v>
      </c>
    </row>
    <row r="114" spans="1:3">
      <c r="A114" s="72" t="s">
        <v>969</v>
      </c>
      <c r="B114" s="72" t="s">
        <v>466</v>
      </c>
      <c r="C114" s="72" t="s">
        <v>306</v>
      </c>
    </row>
    <row r="115" spans="1:3">
      <c r="A115" s="72" t="s">
        <v>1001</v>
      </c>
      <c r="B115" s="72" t="s">
        <v>466</v>
      </c>
      <c r="C115" s="72" t="s">
        <v>311</v>
      </c>
    </row>
    <row r="116" spans="1:3">
      <c r="A116" s="72" t="s">
        <v>1001</v>
      </c>
      <c r="B116" s="72" t="s">
        <v>466</v>
      </c>
      <c r="C116" s="72" t="s">
        <v>311</v>
      </c>
    </row>
    <row r="117" spans="1:3">
      <c r="A117" s="72" t="s">
        <v>1003</v>
      </c>
      <c r="B117" s="72" t="s">
        <v>453</v>
      </c>
      <c r="C117" s="72" t="s">
        <v>305</v>
      </c>
    </row>
    <row r="118" spans="1:3">
      <c r="A118" s="72" t="s">
        <v>1003</v>
      </c>
      <c r="B118" s="72" t="s">
        <v>466</v>
      </c>
      <c r="C118" s="72" t="s">
        <v>305</v>
      </c>
    </row>
    <row r="119" spans="1:3">
      <c r="A119" s="72" t="s">
        <v>969</v>
      </c>
      <c r="B119" s="72" t="s">
        <v>453</v>
      </c>
      <c r="C119" s="72" t="s">
        <v>309</v>
      </c>
    </row>
    <row r="120" spans="1:3">
      <c r="A120" s="72" t="s">
        <v>969</v>
      </c>
      <c r="B120" s="72" t="s">
        <v>466</v>
      </c>
      <c r="C120" s="72" t="s">
        <v>309</v>
      </c>
    </row>
    <row r="121" spans="1:3">
      <c r="A121" s="72" t="s">
        <v>969</v>
      </c>
      <c r="B121" s="72" t="s">
        <v>466</v>
      </c>
      <c r="C121" s="72" t="s">
        <v>309</v>
      </c>
    </row>
    <row r="122" spans="1:3">
      <c r="A122" s="72" t="s">
        <v>969</v>
      </c>
      <c r="B122" s="72" t="s">
        <v>453</v>
      </c>
      <c r="C122" s="72" t="s">
        <v>311</v>
      </c>
    </row>
    <row r="123" spans="1:3">
      <c r="A123" s="72" t="s">
        <v>1005</v>
      </c>
      <c r="B123" s="72" t="s">
        <v>453</v>
      </c>
      <c r="C123" s="72" t="s">
        <v>305</v>
      </c>
    </row>
    <row r="124" spans="1:3">
      <c r="A124" s="72" t="s">
        <v>1005</v>
      </c>
      <c r="B124" s="72" t="s">
        <v>466</v>
      </c>
      <c r="C124" s="72" t="s">
        <v>305</v>
      </c>
    </row>
    <row r="125" spans="1:3">
      <c r="A125" s="72" t="s">
        <v>1005</v>
      </c>
      <c r="B125" s="72" t="s">
        <v>466</v>
      </c>
      <c r="C125" s="72" t="s">
        <v>305</v>
      </c>
    </row>
    <row r="126" spans="1:3">
      <c r="A126" s="72" t="s">
        <v>1005</v>
      </c>
      <c r="B126" s="72" t="s">
        <v>453</v>
      </c>
      <c r="C126" s="72" t="s">
        <v>306</v>
      </c>
    </row>
    <row r="127" spans="1:3">
      <c r="A127" s="72" t="s">
        <v>969</v>
      </c>
      <c r="B127" s="72" t="s">
        <v>466</v>
      </c>
      <c r="C127" s="72" t="s">
        <v>311</v>
      </c>
    </row>
    <row r="128" spans="1:3">
      <c r="A128" s="72" t="s">
        <v>969</v>
      </c>
      <c r="B128" s="72" t="s">
        <v>466</v>
      </c>
      <c r="C128" s="72" t="s">
        <v>311</v>
      </c>
    </row>
    <row r="129" spans="1:3">
      <c r="A129" s="72" t="s">
        <v>971</v>
      </c>
      <c r="B129" s="72" t="s">
        <v>466</v>
      </c>
      <c r="C129" s="72" t="s">
        <v>306</v>
      </c>
    </row>
    <row r="130" spans="1:3">
      <c r="A130" s="72" t="s">
        <v>971</v>
      </c>
      <c r="B130" s="72" t="s">
        <v>466</v>
      </c>
      <c r="C130" s="72" t="s">
        <v>306</v>
      </c>
    </row>
    <row r="131" spans="1:3">
      <c r="A131" s="72" t="s">
        <v>971</v>
      </c>
      <c r="B131" s="72" t="s">
        <v>453</v>
      </c>
      <c r="C131" s="72" t="s">
        <v>309</v>
      </c>
    </row>
    <row r="132" spans="1:3">
      <c r="A132" s="72" t="s">
        <v>971</v>
      </c>
      <c r="B132" s="72" t="s">
        <v>466</v>
      </c>
      <c r="C132" s="72" t="s">
        <v>309</v>
      </c>
    </row>
    <row r="133" spans="1:3">
      <c r="A133" s="72" t="s">
        <v>971</v>
      </c>
      <c r="B133" s="72" t="s">
        <v>466</v>
      </c>
      <c r="C133" s="72" t="s">
        <v>309</v>
      </c>
    </row>
    <row r="134" spans="1:3">
      <c r="A134" s="72" t="s">
        <v>971</v>
      </c>
      <c r="B134" s="72" t="s">
        <v>453</v>
      </c>
      <c r="C134" s="72" t="s">
        <v>311</v>
      </c>
    </row>
    <row r="135" spans="1:3">
      <c r="A135" s="72" t="s">
        <v>980</v>
      </c>
      <c r="B135" s="72" t="s">
        <v>453</v>
      </c>
      <c r="C135" s="72" t="s">
        <v>305</v>
      </c>
    </row>
    <row r="136" spans="1:3">
      <c r="A136" s="72" t="s">
        <v>980</v>
      </c>
      <c r="B136" s="72" t="s">
        <v>466</v>
      </c>
      <c r="C136" s="72" t="s">
        <v>305</v>
      </c>
    </row>
    <row r="137" spans="1:3">
      <c r="A137" s="72" t="s">
        <v>980</v>
      </c>
      <c r="B137" s="72" t="s">
        <v>466</v>
      </c>
      <c r="C137" s="72" t="s">
        <v>305</v>
      </c>
    </row>
    <row r="138" spans="1:3">
      <c r="A138" s="72" t="s">
        <v>980</v>
      </c>
      <c r="B138" s="72" t="s">
        <v>453</v>
      </c>
      <c r="C138" s="72" t="s">
        <v>306</v>
      </c>
    </row>
    <row r="139" spans="1:3">
      <c r="A139" s="72" t="s">
        <v>980</v>
      </c>
      <c r="B139" s="72" t="s">
        <v>466</v>
      </c>
      <c r="C139" s="72" t="s">
        <v>306</v>
      </c>
    </row>
    <row r="140" spans="1:3">
      <c r="A140" s="72" t="s">
        <v>980</v>
      </c>
      <c r="B140" s="72" t="s">
        <v>466</v>
      </c>
      <c r="C140" s="72" t="s">
        <v>306</v>
      </c>
    </row>
    <row r="141" spans="1:3">
      <c r="A141" s="72" t="s">
        <v>980</v>
      </c>
      <c r="B141" s="72" t="s">
        <v>453</v>
      </c>
      <c r="C141" s="72" t="s">
        <v>309</v>
      </c>
    </row>
    <row r="142" spans="1:3">
      <c r="A142" s="72" t="s">
        <v>980</v>
      </c>
      <c r="B142" s="72" t="s">
        <v>466</v>
      </c>
      <c r="C142" s="72" t="s">
        <v>309</v>
      </c>
    </row>
    <row r="143" spans="1:3">
      <c r="A143" s="72" t="s">
        <v>980</v>
      </c>
      <c r="B143" s="72" t="s">
        <v>466</v>
      </c>
      <c r="C143" s="72" t="s">
        <v>309</v>
      </c>
    </row>
    <row r="144" spans="1:3">
      <c r="A144" s="72" t="s">
        <v>980</v>
      </c>
      <c r="B144" s="72" t="s">
        <v>453</v>
      </c>
      <c r="C144" s="72" t="s">
        <v>311</v>
      </c>
    </row>
    <row r="145" spans="1:3">
      <c r="A145" s="72" t="s">
        <v>980</v>
      </c>
      <c r="B145" s="72" t="s">
        <v>466</v>
      </c>
      <c r="C145" s="72" t="s">
        <v>311</v>
      </c>
    </row>
    <row r="146" spans="1:3">
      <c r="A146" s="72" t="s">
        <v>980</v>
      </c>
      <c r="B146" s="72" t="s">
        <v>466</v>
      </c>
      <c r="C146" s="72" t="s">
        <v>311</v>
      </c>
    </row>
    <row r="147" spans="1:3">
      <c r="A147" s="72" t="s">
        <v>1007</v>
      </c>
      <c r="B147" s="72" t="s">
        <v>466</v>
      </c>
      <c r="C147" s="72" t="s">
        <v>306</v>
      </c>
    </row>
    <row r="148" spans="1:3">
      <c r="A148" s="72" t="s">
        <v>1007</v>
      </c>
      <c r="B148" s="72" t="s">
        <v>466</v>
      </c>
      <c r="C148" s="72" t="s">
        <v>306</v>
      </c>
    </row>
    <row r="149" spans="1:3">
      <c r="A149" s="72" t="s">
        <v>1007</v>
      </c>
      <c r="B149" s="72" t="s">
        <v>453</v>
      </c>
      <c r="C149" s="72" t="s">
        <v>309</v>
      </c>
    </row>
    <row r="150" spans="1:3">
      <c r="A150" s="72" t="s">
        <v>1007</v>
      </c>
      <c r="B150" s="72" t="s">
        <v>466</v>
      </c>
      <c r="C150" s="72" t="s">
        <v>309</v>
      </c>
    </row>
    <row r="151" spans="1:3">
      <c r="A151" s="72" t="s">
        <v>1007</v>
      </c>
      <c r="B151" s="72" t="s">
        <v>466</v>
      </c>
      <c r="C151" s="72" t="s">
        <v>309</v>
      </c>
    </row>
    <row r="152" spans="1:3">
      <c r="A152" s="72" t="s">
        <v>1007</v>
      </c>
      <c r="B152" s="72" t="s">
        <v>453</v>
      </c>
      <c r="C152" s="72" t="s">
        <v>311</v>
      </c>
    </row>
    <row r="153" spans="1:3">
      <c r="A153" s="72" t="s">
        <v>1007</v>
      </c>
      <c r="B153" s="72" t="s">
        <v>466</v>
      </c>
      <c r="C153" s="72" t="s">
        <v>311</v>
      </c>
    </row>
    <row r="154" spans="1:3">
      <c r="A154" s="72" t="s">
        <v>1007</v>
      </c>
      <c r="B154" s="72" t="s">
        <v>466</v>
      </c>
      <c r="C154" s="72" t="s">
        <v>311</v>
      </c>
    </row>
    <row r="155" spans="1:3">
      <c r="A155" s="72" t="s">
        <v>1007</v>
      </c>
      <c r="B155" s="72" t="s">
        <v>453</v>
      </c>
      <c r="C155" s="72" t="s">
        <v>1057</v>
      </c>
    </row>
    <row r="156" spans="1:3">
      <c r="A156" s="72" t="s">
        <v>1007</v>
      </c>
      <c r="B156" s="72" t="s">
        <v>453</v>
      </c>
      <c r="C156" s="72" t="s">
        <v>305</v>
      </c>
    </row>
    <row r="157" spans="1:3">
      <c r="A157" s="72" t="s">
        <v>1007</v>
      </c>
      <c r="B157" s="72" t="s">
        <v>466</v>
      </c>
      <c r="C157" s="72" t="s">
        <v>305</v>
      </c>
    </row>
    <row r="158" spans="1:3">
      <c r="A158" s="72" t="s">
        <v>982</v>
      </c>
      <c r="B158" s="72" t="s">
        <v>453</v>
      </c>
      <c r="C158" s="72" t="s">
        <v>1057</v>
      </c>
    </row>
    <row r="159" spans="1:3">
      <c r="A159" s="72" t="s">
        <v>982</v>
      </c>
      <c r="B159" s="72" t="s">
        <v>453</v>
      </c>
      <c r="C159" s="72" t="s">
        <v>305</v>
      </c>
    </row>
    <row r="160" spans="1:3">
      <c r="A160" s="72" t="s">
        <v>982</v>
      </c>
      <c r="B160" s="72" t="s">
        <v>466</v>
      </c>
      <c r="C160" s="72" t="s">
        <v>305</v>
      </c>
    </row>
    <row r="161" spans="1:3">
      <c r="A161" s="72" t="s">
        <v>982</v>
      </c>
      <c r="B161" s="72" t="s">
        <v>466</v>
      </c>
      <c r="C161" s="72" t="s">
        <v>305</v>
      </c>
    </row>
    <row r="162" spans="1:3">
      <c r="A162" s="72" t="s">
        <v>982</v>
      </c>
      <c r="B162" s="72" t="s">
        <v>453</v>
      </c>
      <c r="C162" s="72" t="s">
        <v>306</v>
      </c>
    </row>
    <row r="163" spans="1:3">
      <c r="A163" s="72" t="s">
        <v>982</v>
      </c>
      <c r="B163" s="72" t="s">
        <v>466</v>
      </c>
      <c r="C163" s="72" t="s">
        <v>306</v>
      </c>
    </row>
    <row r="164" spans="1:3">
      <c r="A164" s="72" t="s">
        <v>982</v>
      </c>
      <c r="B164" s="72" t="s">
        <v>466</v>
      </c>
      <c r="C164" s="72" t="s">
        <v>306</v>
      </c>
    </row>
    <row r="165" spans="1:3">
      <c r="A165" s="72" t="s">
        <v>982</v>
      </c>
      <c r="B165" s="72" t="s">
        <v>453</v>
      </c>
      <c r="C165" s="72" t="s">
        <v>309</v>
      </c>
    </row>
    <row r="166" spans="1:3">
      <c r="A166" s="72" t="s">
        <v>982</v>
      </c>
      <c r="B166" s="72" t="s">
        <v>466</v>
      </c>
      <c r="C166" s="72" t="s">
        <v>309</v>
      </c>
    </row>
    <row r="167" spans="1:3">
      <c r="A167" s="72" t="s">
        <v>982</v>
      </c>
      <c r="B167" s="72" t="s">
        <v>466</v>
      </c>
      <c r="C167" s="72" t="s">
        <v>309</v>
      </c>
    </row>
    <row r="168" spans="1:3">
      <c r="A168" s="72" t="s">
        <v>982</v>
      </c>
      <c r="B168" s="72" t="s">
        <v>453</v>
      </c>
      <c r="C168" s="72" t="s">
        <v>311</v>
      </c>
    </row>
    <row r="169" spans="1:3">
      <c r="A169" s="72" t="s">
        <v>982</v>
      </c>
      <c r="B169" s="72" t="s">
        <v>466</v>
      </c>
      <c r="C169" s="72" t="s">
        <v>311</v>
      </c>
    </row>
    <row r="170" spans="1:3">
      <c r="A170" s="72" t="s">
        <v>982</v>
      </c>
      <c r="B170" s="72" t="s">
        <v>466</v>
      </c>
      <c r="C170" s="72" t="s">
        <v>311</v>
      </c>
    </row>
    <row r="171" spans="1:3">
      <c r="A171" s="72" t="s">
        <v>997</v>
      </c>
      <c r="B171" s="72" t="s">
        <v>453</v>
      </c>
      <c r="C171" s="72" t="s">
        <v>1057</v>
      </c>
    </row>
    <row r="172" spans="1:3">
      <c r="A172" s="72" t="s">
        <v>997</v>
      </c>
      <c r="B172" s="72" t="s">
        <v>453</v>
      </c>
      <c r="C172" s="72" t="s">
        <v>305</v>
      </c>
    </row>
    <row r="173" spans="1:3">
      <c r="A173" s="72" t="s">
        <v>997</v>
      </c>
      <c r="B173" s="72" t="s">
        <v>466</v>
      </c>
      <c r="C173" s="72" t="s">
        <v>305</v>
      </c>
    </row>
    <row r="174" spans="1:3">
      <c r="A174" s="72" t="s">
        <v>1003</v>
      </c>
      <c r="B174" s="72" t="s">
        <v>466</v>
      </c>
      <c r="C174" s="72" t="s">
        <v>305</v>
      </c>
    </row>
    <row r="175" spans="1:3">
      <c r="A175" s="72" t="s">
        <v>1003</v>
      </c>
      <c r="B175" s="72" t="s">
        <v>453</v>
      </c>
      <c r="C175" s="72" t="s">
        <v>306</v>
      </c>
    </row>
    <row r="176" spans="1:3">
      <c r="A176" s="72" t="s">
        <v>1003</v>
      </c>
      <c r="B176" s="72" t="s">
        <v>466</v>
      </c>
      <c r="C176" s="72" t="s">
        <v>306</v>
      </c>
    </row>
    <row r="177" spans="1:3">
      <c r="A177" s="72" t="s">
        <v>1003</v>
      </c>
      <c r="B177" s="72" t="s">
        <v>466</v>
      </c>
      <c r="C177" s="72" t="s">
        <v>306</v>
      </c>
    </row>
    <row r="178" spans="1:3">
      <c r="A178" s="72" t="s">
        <v>1003</v>
      </c>
      <c r="B178" s="72" t="s">
        <v>453</v>
      </c>
      <c r="C178" s="72" t="s">
        <v>309</v>
      </c>
    </row>
    <row r="179" spans="1:3">
      <c r="A179" s="72" t="s">
        <v>1003</v>
      </c>
      <c r="B179" s="72" t="s">
        <v>466</v>
      </c>
      <c r="C179" s="72" t="s">
        <v>309</v>
      </c>
    </row>
    <row r="180" spans="1:3">
      <c r="A180" s="72" t="s">
        <v>1003</v>
      </c>
      <c r="B180" s="72" t="s">
        <v>466</v>
      </c>
      <c r="C180" s="72" t="s">
        <v>309</v>
      </c>
    </row>
    <row r="181" spans="1:3">
      <c r="A181" s="72" t="s">
        <v>1003</v>
      </c>
      <c r="B181" s="72" t="s">
        <v>453</v>
      </c>
      <c r="C181" s="72" t="s">
        <v>311</v>
      </c>
    </row>
    <row r="182" spans="1:3">
      <c r="A182" s="72" t="s">
        <v>1003</v>
      </c>
      <c r="B182" s="72" t="s">
        <v>466</v>
      </c>
      <c r="C182" s="72" t="s">
        <v>311</v>
      </c>
    </row>
    <row r="183" spans="1:3">
      <c r="A183" s="72" t="s">
        <v>1003</v>
      </c>
      <c r="B183" s="72" t="s">
        <v>466</v>
      </c>
      <c r="C183" s="72" t="s">
        <v>311</v>
      </c>
    </row>
    <row r="184" spans="1:3">
      <c r="A184" s="72" t="s">
        <v>1005</v>
      </c>
      <c r="B184" s="72" t="s">
        <v>466</v>
      </c>
      <c r="C184" s="72" t="s">
        <v>306</v>
      </c>
    </row>
    <row r="185" spans="1:3">
      <c r="A185" s="72" t="s">
        <v>1005</v>
      </c>
      <c r="B185" s="72" t="s">
        <v>466</v>
      </c>
      <c r="C185" s="72" t="s">
        <v>306</v>
      </c>
    </row>
    <row r="186" spans="1:3">
      <c r="A186" s="72" t="s">
        <v>1005</v>
      </c>
      <c r="B186" s="72" t="s">
        <v>453</v>
      </c>
      <c r="C186" s="72" t="s">
        <v>309</v>
      </c>
    </row>
    <row r="187" spans="1:3">
      <c r="A187" s="72" t="s">
        <v>1005</v>
      </c>
      <c r="B187" s="72" t="s">
        <v>466</v>
      </c>
      <c r="C187" s="72" t="s">
        <v>309</v>
      </c>
    </row>
    <row r="188" spans="1:3">
      <c r="A188" s="72" t="s">
        <v>1005</v>
      </c>
      <c r="B188" s="72" t="s">
        <v>466</v>
      </c>
      <c r="C188" s="72" t="s">
        <v>309</v>
      </c>
    </row>
    <row r="189" spans="1:3">
      <c r="A189" s="72" t="s">
        <v>1005</v>
      </c>
      <c r="B189" s="72" t="s">
        <v>453</v>
      </c>
      <c r="C189" s="72" t="s">
        <v>311</v>
      </c>
    </row>
    <row r="190" spans="1:3">
      <c r="A190" s="72" t="s">
        <v>1005</v>
      </c>
      <c r="B190" s="72" t="s">
        <v>466</v>
      </c>
      <c r="C190" s="72" t="s">
        <v>311</v>
      </c>
    </row>
    <row r="191" spans="1:3">
      <c r="A191" s="72" t="s">
        <v>1005</v>
      </c>
      <c r="B191" s="72" t="s">
        <v>466</v>
      </c>
      <c r="C191" s="72" t="s">
        <v>311</v>
      </c>
    </row>
    <row r="192" spans="1:3">
      <c r="A192" s="72" t="s">
        <v>1007</v>
      </c>
      <c r="B192" s="72" t="s">
        <v>466</v>
      </c>
      <c r="C192" s="72" t="s">
        <v>305</v>
      </c>
    </row>
    <row r="193" spans="1:3">
      <c r="A193" s="72" t="s">
        <v>1007</v>
      </c>
      <c r="B193" s="72" t="s">
        <v>453</v>
      </c>
      <c r="C193" s="72" t="s">
        <v>306</v>
      </c>
    </row>
    <row r="209" spans="1:3">
      <c r="A209" s="73"/>
      <c r="B209" s="73"/>
      <c r="C209" s="73"/>
    </row>
  </sheetData>
  <autoFilter ref="A2:C2" xr:uid="{00000000-0009-0000-0000-000009000000}"/>
  <mergeCells count="5">
    <mergeCell ref="G1:N1"/>
    <mergeCell ref="O1:V1"/>
    <mergeCell ref="W1:AD1"/>
    <mergeCell ref="AE1:AL1"/>
    <mergeCell ref="AM1:AT1"/>
  </mergeCells>
  <printOptions horizontalCentered="1" gridLines="1"/>
  <pageMargins left="0.45" right="0.45" top="0.75" bottom="0.75" header="0.3" footer="0.3"/>
  <pageSetup paperSize="8" scale="70" orientation="landscape" verticalDpi="0" r:id="rId1"/>
  <colBreaks count="4" manualBreakCount="4">
    <brk id="22" max="192" man="1"/>
    <brk id="30" max="1048575" man="1"/>
    <brk id="38" max="1048575" man="1"/>
    <brk id="46" max="1048575" man="1"/>
  </colBreaks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AW2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16" sqref="E16"/>
    </sheetView>
  </sheetViews>
  <sheetFormatPr defaultRowHeight="15"/>
  <cols>
    <col min="1" max="1" width="45" bestFit="1" customWidth="1"/>
    <col min="2" max="2" width="36.28515625" bestFit="1" customWidth="1"/>
    <col min="3" max="3" width="19.140625" bestFit="1" customWidth="1"/>
    <col min="4" max="4" width="10.140625" style="3" bestFit="1" customWidth="1"/>
    <col min="5" max="5" width="16.5703125" style="3" bestFit="1" customWidth="1"/>
    <col min="6" max="6" width="9.140625" style="3" bestFit="1" customWidth="1"/>
    <col min="7" max="14" width="13" bestFit="1" customWidth="1"/>
    <col min="15" max="22" width="21.28515625" bestFit="1" customWidth="1"/>
    <col min="23" max="30" width="21.140625" bestFit="1" customWidth="1"/>
    <col min="31" max="38" width="20.140625" bestFit="1" customWidth="1"/>
    <col min="39" max="46" width="16.85546875" bestFit="1" customWidth="1"/>
    <col min="47" max="47" width="16.42578125" bestFit="1" customWidth="1"/>
    <col min="48" max="48" width="16.85546875" bestFit="1" customWidth="1"/>
    <col min="49" max="49" width="16.42578125" bestFit="1" customWidth="1"/>
  </cols>
  <sheetData>
    <row r="1" spans="1:49" ht="34.5" customHeight="1"/>
    <row r="2" spans="1:49">
      <c r="A2" s="14" t="s">
        <v>127</v>
      </c>
      <c r="B2" s="47" t="s">
        <v>899</v>
      </c>
      <c r="C2" s="14" t="s">
        <v>128</v>
      </c>
      <c r="D2" s="49" t="s">
        <v>0</v>
      </c>
      <c r="E2" s="49" t="s">
        <v>899</v>
      </c>
      <c r="F2" s="49" t="s">
        <v>1</v>
      </c>
      <c r="G2" s="47" t="s">
        <v>900</v>
      </c>
      <c r="H2" s="47" t="s">
        <v>901</v>
      </c>
      <c r="I2" s="47" t="s">
        <v>902</v>
      </c>
      <c r="J2" s="47" t="s">
        <v>903</v>
      </c>
      <c r="K2" s="47" t="s">
        <v>904</v>
      </c>
      <c r="L2" s="47" t="s">
        <v>905</v>
      </c>
      <c r="M2" s="47" t="s">
        <v>906</v>
      </c>
      <c r="N2" s="47" t="s">
        <v>907</v>
      </c>
      <c r="O2" s="47" t="s">
        <v>908</v>
      </c>
      <c r="P2" s="47" t="s">
        <v>909</v>
      </c>
      <c r="Q2" s="47" t="s">
        <v>910</v>
      </c>
      <c r="R2" s="47" t="s">
        <v>911</v>
      </c>
      <c r="S2" s="47" t="s">
        <v>912</v>
      </c>
      <c r="T2" s="47" t="s">
        <v>913</v>
      </c>
      <c r="U2" s="47" t="s">
        <v>914</v>
      </c>
      <c r="V2" s="47" t="s">
        <v>915</v>
      </c>
      <c r="W2" s="47" t="s">
        <v>916</v>
      </c>
      <c r="X2" s="47" t="s">
        <v>917</v>
      </c>
      <c r="Y2" s="47" t="s">
        <v>918</v>
      </c>
      <c r="Z2" s="47" t="s">
        <v>919</v>
      </c>
      <c r="AA2" s="47" t="s">
        <v>920</v>
      </c>
      <c r="AB2" s="47" t="s">
        <v>921</v>
      </c>
      <c r="AC2" s="47" t="s">
        <v>922</v>
      </c>
      <c r="AD2" s="47" t="s">
        <v>923</v>
      </c>
      <c r="AE2" s="47" t="s">
        <v>924</v>
      </c>
      <c r="AF2" s="47" t="s">
        <v>925</v>
      </c>
      <c r="AG2" s="47" t="s">
        <v>926</v>
      </c>
      <c r="AH2" s="47" t="s">
        <v>927</v>
      </c>
      <c r="AI2" s="47" t="s">
        <v>928</v>
      </c>
      <c r="AJ2" s="47" t="s">
        <v>929</v>
      </c>
      <c r="AK2" s="47" t="s">
        <v>930</v>
      </c>
      <c r="AL2" s="47" t="s">
        <v>931</v>
      </c>
      <c r="AM2" s="47" t="s">
        <v>932</v>
      </c>
      <c r="AN2" s="47" t="s">
        <v>933</v>
      </c>
      <c r="AO2" s="47" t="s">
        <v>934</v>
      </c>
      <c r="AP2" s="47" t="s">
        <v>935</v>
      </c>
      <c r="AQ2" s="47" t="s">
        <v>936</v>
      </c>
      <c r="AR2" s="47" t="s">
        <v>937</v>
      </c>
      <c r="AS2" s="47" t="s">
        <v>938</v>
      </c>
      <c r="AT2" s="47" t="s">
        <v>939</v>
      </c>
      <c r="AU2" s="47" t="s">
        <v>940</v>
      </c>
      <c r="AV2" s="47" t="s">
        <v>941</v>
      </c>
      <c r="AW2" s="47" t="s">
        <v>942</v>
      </c>
    </row>
    <row r="3" spans="1:49">
      <c r="A3" s="7" t="s">
        <v>112</v>
      </c>
      <c r="B3" t="s">
        <v>466</v>
      </c>
      <c r="C3" t="s">
        <v>305</v>
      </c>
      <c r="D3" s="50" t="s">
        <v>111</v>
      </c>
      <c r="E3" s="50" t="s">
        <v>465</v>
      </c>
      <c r="F3" s="50" t="s">
        <v>35</v>
      </c>
      <c r="G3" s="48">
        <v>6</v>
      </c>
      <c r="H3" s="48">
        <v>6</v>
      </c>
      <c r="I3" s="48">
        <v>6</v>
      </c>
      <c r="J3" s="48">
        <v>6</v>
      </c>
      <c r="K3" s="48">
        <v>6</v>
      </c>
      <c r="L3" s="48">
        <v>6</v>
      </c>
      <c r="M3" s="48">
        <v>6</v>
      </c>
      <c r="N3" s="48">
        <v>6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2000</v>
      </c>
      <c r="X3" s="48">
        <v>2000</v>
      </c>
      <c r="Y3" s="48">
        <v>2000</v>
      </c>
      <c r="Z3" s="48">
        <v>2000</v>
      </c>
      <c r="AA3" s="48">
        <v>2000</v>
      </c>
      <c r="AB3" s="48">
        <v>2000</v>
      </c>
      <c r="AC3" s="48">
        <v>2000</v>
      </c>
      <c r="AD3" s="48">
        <v>2000</v>
      </c>
      <c r="AE3" s="48">
        <v>0</v>
      </c>
      <c r="AF3" s="48">
        <v>0</v>
      </c>
      <c r="AG3" s="48">
        <v>0</v>
      </c>
      <c r="AH3" s="48">
        <v>0</v>
      </c>
      <c r="AI3" s="48">
        <v>0</v>
      </c>
      <c r="AJ3" s="48">
        <v>0</v>
      </c>
      <c r="AK3" s="48">
        <v>0</v>
      </c>
      <c r="AL3" s="48">
        <v>0</v>
      </c>
      <c r="AM3" s="48">
        <v>0</v>
      </c>
      <c r="AN3" s="48">
        <v>0</v>
      </c>
      <c r="AO3" s="48">
        <v>0</v>
      </c>
      <c r="AP3" s="48">
        <v>0</v>
      </c>
      <c r="AQ3" s="48">
        <v>0</v>
      </c>
      <c r="AR3" s="48">
        <v>0</v>
      </c>
      <c r="AS3" s="48">
        <v>0</v>
      </c>
      <c r="AT3" s="48">
        <v>0</v>
      </c>
      <c r="AU3" s="48">
        <v>0</v>
      </c>
      <c r="AV3" s="48">
        <v>0</v>
      </c>
      <c r="AW3" s="48">
        <v>0</v>
      </c>
    </row>
    <row r="4" spans="1:49">
      <c r="A4" s="7" t="s">
        <v>112</v>
      </c>
      <c r="B4" t="s">
        <v>466</v>
      </c>
      <c r="C4" t="s">
        <v>309</v>
      </c>
      <c r="D4" s="50" t="s">
        <v>111</v>
      </c>
      <c r="E4" s="50" t="s">
        <v>465</v>
      </c>
      <c r="F4" s="50" t="s">
        <v>39</v>
      </c>
      <c r="G4" s="48">
        <v>6</v>
      </c>
      <c r="H4" s="48">
        <v>6</v>
      </c>
      <c r="I4" s="48">
        <v>6</v>
      </c>
      <c r="J4" s="48">
        <v>6</v>
      </c>
      <c r="K4" s="48">
        <v>6</v>
      </c>
      <c r="L4" s="48">
        <v>6</v>
      </c>
      <c r="M4" s="48">
        <v>6</v>
      </c>
      <c r="N4" s="48">
        <v>6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2000</v>
      </c>
      <c r="X4" s="48">
        <v>2000</v>
      </c>
      <c r="Y4" s="48">
        <v>2000</v>
      </c>
      <c r="Z4" s="48">
        <v>2000</v>
      </c>
      <c r="AA4" s="48">
        <v>2000</v>
      </c>
      <c r="AB4" s="48">
        <v>2000</v>
      </c>
      <c r="AC4" s="48">
        <v>2000</v>
      </c>
      <c r="AD4" s="48">
        <v>2000</v>
      </c>
      <c r="AE4" s="48">
        <v>0</v>
      </c>
      <c r="AF4" s="48">
        <v>0</v>
      </c>
      <c r="AG4" s="48">
        <v>0</v>
      </c>
      <c r="AH4" s="48">
        <v>0</v>
      </c>
      <c r="AI4" s="48">
        <v>0</v>
      </c>
      <c r="AJ4" s="48">
        <v>0</v>
      </c>
      <c r="AK4" s="48">
        <v>0</v>
      </c>
      <c r="AL4" s="48">
        <v>0</v>
      </c>
      <c r="AM4" s="48">
        <v>0</v>
      </c>
      <c r="AN4" s="48">
        <v>0</v>
      </c>
      <c r="AO4" s="48">
        <v>0</v>
      </c>
      <c r="AP4" s="48">
        <v>0</v>
      </c>
      <c r="AQ4" s="48">
        <v>0</v>
      </c>
      <c r="AR4" s="48">
        <v>0</v>
      </c>
      <c r="AS4" s="48">
        <v>0</v>
      </c>
      <c r="AT4" s="48">
        <v>0</v>
      </c>
      <c r="AU4" s="48">
        <v>0</v>
      </c>
      <c r="AV4" s="48">
        <v>0</v>
      </c>
      <c r="AW4" s="48">
        <v>0</v>
      </c>
    </row>
    <row r="5" spans="1:49">
      <c r="A5" s="7" t="s">
        <v>112</v>
      </c>
      <c r="B5" t="s">
        <v>466</v>
      </c>
      <c r="C5" t="s">
        <v>313</v>
      </c>
      <c r="D5" s="50" t="s">
        <v>111</v>
      </c>
      <c r="E5" s="50" t="s">
        <v>465</v>
      </c>
      <c r="F5" s="50" t="s">
        <v>46</v>
      </c>
      <c r="G5" s="48">
        <v>6</v>
      </c>
      <c r="H5" s="48">
        <v>6</v>
      </c>
      <c r="I5" s="48">
        <v>6</v>
      </c>
      <c r="J5" s="48">
        <v>6</v>
      </c>
      <c r="K5" s="48">
        <v>6</v>
      </c>
      <c r="L5" s="48">
        <v>6</v>
      </c>
      <c r="M5" s="48">
        <v>6</v>
      </c>
      <c r="N5" s="48">
        <v>6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2000</v>
      </c>
      <c r="X5" s="48">
        <v>2000</v>
      </c>
      <c r="Y5" s="48">
        <v>2000</v>
      </c>
      <c r="Z5" s="48">
        <v>2000</v>
      </c>
      <c r="AA5" s="48">
        <v>2000</v>
      </c>
      <c r="AB5" s="48">
        <v>2000</v>
      </c>
      <c r="AC5" s="48">
        <v>2000</v>
      </c>
      <c r="AD5" s="48">
        <v>2000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</row>
    <row r="6" spans="1:49">
      <c r="A6" s="7" t="s">
        <v>112</v>
      </c>
      <c r="B6" t="s">
        <v>466</v>
      </c>
      <c r="C6" t="s">
        <v>868</v>
      </c>
      <c r="D6" s="50" t="s">
        <v>111</v>
      </c>
      <c r="E6" s="50" t="s">
        <v>465</v>
      </c>
      <c r="F6" s="50" t="s">
        <v>867</v>
      </c>
      <c r="G6" s="48">
        <v>6</v>
      </c>
      <c r="H6" s="48">
        <v>6</v>
      </c>
      <c r="I6" s="48">
        <v>6</v>
      </c>
      <c r="J6" s="48">
        <v>6</v>
      </c>
      <c r="K6" s="48">
        <v>6</v>
      </c>
      <c r="L6" s="48">
        <v>6</v>
      </c>
      <c r="M6" s="48">
        <v>6</v>
      </c>
      <c r="N6" s="48">
        <v>6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2000</v>
      </c>
      <c r="X6" s="48">
        <v>2000</v>
      </c>
      <c r="Y6" s="48">
        <v>2000</v>
      </c>
      <c r="Z6" s="48">
        <v>2000</v>
      </c>
      <c r="AA6" s="48">
        <v>2000</v>
      </c>
      <c r="AB6" s="48">
        <v>2000</v>
      </c>
      <c r="AC6" s="48">
        <v>2000</v>
      </c>
      <c r="AD6" s="48">
        <v>2000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</row>
    <row r="7" spans="1:49">
      <c r="A7" s="7" t="s">
        <v>112</v>
      </c>
      <c r="B7" t="s">
        <v>466</v>
      </c>
      <c r="C7" t="s">
        <v>305</v>
      </c>
      <c r="D7" s="50" t="s">
        <v>111</v>
      </c>
      <c r="E7" s="50" t="s">
        <v>465</v>
      </c>
      <c r="F7" s="50" t="s">
        <v>35</v>
      </c>
      <c r="G7" s="48">
        <v>999</v>
      </c>
      <c r="H7" s="48">
        <v>999</v>
      </c>
      <c r="I7" s="48">
        <v>999</v>
      </c>
      <c r="J7" s="48">
        <v>999</v>
      </c>
      <c r="K7" s="48">
        <v>999</v>
      </c>
      <c r="L7" s="48">
        <v>999</v>
      </c>
      <c r="M7" s="48">
        <v>999</v>
      </c>
      <c r="N7" s="48">
        <v>999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1580</v>
      </c>
      <c r="X7" s="48">
        <v>1580</v>
      </c>
      <c r="Y7" s="48">
        <v>1580</v>
      </c>
      <c r="Z7" s="48">
        <v>1580</v>
      </c>
      <c r="AA7" s="48">
        <v>1580</v>
      </c>
      <c r="AB7" s="48">
        <v>1580</v>
      </c>
      <c r="AC7" s="48">
        <v>1580</v>
      </c>
      <c r="AD7" s="48">
        <v>1580</v>
      </c>
      <c r="AE7" s="48">
        <v>70</v>
      </c>
      <c r="AF7" s="48">
        <v>70</v>
      </c>
      <c r="AG7" s="48">
        <v>70</v>
      </c>
      <c r="AH7" s="48">
        <v>70</v>
      </c>
      <c r="AI7" s="48">
        <v>70</v>
      </c>
      <c r="AJ7" s="48">
        <v>70</v>
      </c>
      <c r="AK7" s="48">
        <v>70</v>
      </c>
      <c r="AL7" s="48">
        <v>70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</row>
    <row r="8" spans="1:49">
      <c r="A8" s="7" t="s">
        <v>112</v>
      </c>
      <c r="B8" t="s">
        <v>466</v>
      </c>
      <c r="C8" t="s">
        <v>309</v>
      </c>
      <c r="D8" s="50" t="s">
        <v>111</v>
      </c>
      <c r="E8" s="50" t="s">
        <v>465</v>
      </c>
      <c r="F8" s="50" t="s">
        <v>39</v>
      </c>
      <c r="G8" s="48">
        <v>999</v>
      </c>
      <c r="H8" s="48">
        <v>999</v>
      </c>
      <c r="I8" s="48">
        <v>999</v>
      </c>
      <c r="J8" s="48">
        <v>999</v>
      </c>
      <c r="K8" s="48">
        <v>999</v>
      </c>
      <c r="L8" s="48">
        <v>999</v>
      </c>
      <c r="M8" s="48">
        <v>999</v>
      </c>
      <c r="N8" s="48">
        <v>999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1580</v>
      </c>
      <c r="X8" s="48">
        <v>1580</v>
      </c>
      <c r="Y8" s="48">
        <v>1580</v>
      </c>
      <c r="Z8" s="48">
        <v>1580</v>
      </c>
      <c r="AA8" s="48">
        <v>1580</v>
      </c>
      <c r="AB8" s="48">
        <v>1580</v>
      </c>
      <c r="AC8" s="48">
        <v>1580</v>
      </c>
      <c r="AD8" s="48">
        <v>1580</v>
      </c>
      <c r="AE8" s="48">
        <v>70</v>
      </c>
      <c r="AF8" s="48">
        <v>70</v>
      </c>
      <c r="AG8" s="48">
        <v>70</v>
      </c>
      <c r="AH8" s="48">
        <v>70</v>
      </c>
      <c r="AI8" s="48">
        <v>70</v>
      </c>
      <c r="AJ8" s="48">
        <v>70</v>
      </c>
      <c r="AK8" s="48">
        <v>70</v>
      </c>
      <c r="AL8" s="48">
        <v>70</v>
      </c>
      <c r="AM8" s="48">
        <v>0</v>
      </c>
      <c r="AN8" s="48">
        <v>0</v>
      </c>
      <c r="AO8" s="48">
        <v>0</v>
      </c>
      <c r="AP8" s="48">
        <v>0</v>
      </c>
      <c r="AQ8" s="48">
        <v>0</v>
      </c>
      <c r="AR8" s="48">
        <v>0</v>
      </c>
      <c r="AS8" s="48">
        <v>0</v>
      </c>
      <c r="AT8" s="48">
        <v>0</v>
      </c>
      <c r="AU8" s="48">
        <v>0</v>
      </c>
      <c r="AV8" s="48">
        <v>0</v>
      </c>
      <c r="AW8" s="48">
        <v>0</v>
      </c>
    </row>
    <row r="9" spans="1:49">
      <c r="A9" s="7" t="s">
        <v>112</v>
      </c>
      <c r="B9" t="s">
        <v>466</v>
      </c>
      <c r="C9" t="s">
        <v>313</v>
      </c>
      <c r="D9" s="50" t="s">
        <v>111</v>
      </c>
      <c r="E9" s="50" t="s">
        <v>465</v>
      </c>
      <c r="F9" s="50" t="s">
        <v>46</v>
      </c>
      <c r="G9" s="48">
        <v>999</v>
      </c>
      <c r="H9" s="48">
        <v>999</v>
      </c>
      <c r="I9" s="48">
        <v>999</v>
      </c>
      <c r="J9" s="48">
        <v>999</v>
      </c>
      <c r="K9" s="48">
        <v>999</v>
      </c>
      <c r="L9" s="48">
        <v>999</v>
      </c>
      <c r="M9" s="48">
        <v>999</v>
      </c>
      <c r="N9" s="48">
        <v>999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1580</v>
      </c>
      <c r="X9" s="48">
        <v>1580</v>
      </c>
      <c r="Y9" s="48">
        <v>1580</v>
      </c>
      <c r="Z9" s="48">
        <v>1580</v>
      </c>
      <c r="AA9" s="48">
        <v>1580</v>
      </c>
      <c r="AB9" s="48">
        <v>1580</v>
      </c>
      <c r="AC9" s="48">
        <v>1580</v>
      </c>
      <c r="AD9" s="48">
        <v>1580</v>
      </c>
      <c r="AE9" s="48">
        <v>70</v>
      </c>
      <c r="AF9" s="48">
        <v>70</v>
      </c>
      <c r="AG9" s="48">
        <v>70</v>
      </c>
      <c r="AH9" s="48">
        <v>70</v>
      </c>
      <c r="AI9" s="48">
        <v>70</v>
      </c>
      <c r="AJ9" s="48">
        <v>70</v>
      </c>
      <c r="AK9" s="48">
        <v>70</v>
      </c>
      <c r="AL9" s="48">
        <v>70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</row>
    <row r="10" spans="1:49">
      <c r="A10" s="7" t="s">
        <v>112</v>
      </c>
      <c r="B10" t="s">
        <v>466</v>
      </c>
      <c r="C10" t="s">
        <v>868</v>
      </c>
      <c r="D10" s="50" t="s">
        <v>111</v>
      </c>
      <c r="E10" s="50" t="s">
        <v>465</v>
      </c>
      <c r="F10" s="50" t="s">
        <v>867</v>
      </c>
      <c r="G10" s="48">
        <v>999</v>
      </c>
      <c r="H10" s="48">
        <v>999</v>
      </c>
      <c r="I10" s="48">
        <v>999</v>
      </c>
      <c r="J10" s="48">
        <v>999</v>
      </c>
      <c r="K10" s="48">
        <v>999</v>
      </c>
      <c r="L10" s="48">
        <v>999</v>
      </c>
      <c r="M10" s="48">
        <v>999</v>
      </c>
      <c r="N10" s="48">
        <v>999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1580</v>
      </c>
      <c r="X10" s="48">
        <v>1580</v>
      </c>
      <c r="Y10" s="48">
        <v>1580</v>
      </c>
      <c r="Z10" s="48">
        <v>1580</v>
      </c>
      <c r="AA10" s="48">
        <v>1580</v>
      </c>
      <c r="AB10" s="48">
        <v>1580</v>
      </c>
      <c r="AC10" s="48">
        <v>1580</v>
      </c>
      <c r="AD10" s="48">
        <v>1580</v>
      </c>
      <c r="AE10" s="48">
        <v>70</v>
      </c>
      <c r="AF10" s="48">
        <v>70</v>
      </c>
      <c r="AG10" s="48">
        <v>70</v>
      </c>
      <c r="AH10" s="48">
        <v>70</v>
      </c>
      <c r="AI10" s="48">
        <v>70</v>
      </c>
      <c r="AJ10" s="48">
        <v>70</v>
      </c>
      <c r="AK10" s="48">
        <v>70</v>
      </c>
      <c r="AL10" s="48">
        <v>70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</row>
    <row r="11" spans="1:49">
      <c r="D11" s="50"/>
      <c r="E11" s="50"/>
      <c r="F11" s="50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>
      <c r="D12" s="50"/>
      <c r="E12" s="50"/>
      <c r="F12" s="50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>
      <c r="D13" s="50"/>
      <c r="E13" s="50"/>
      <c r="F13" s="50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>
      <c r="D14" s="50"/>
      <c r="E14" s="50"/>
      <c r="F14" s="50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>
      <c r="D15" s="50"/>
      <c r="E15" s="50"/>
      <c r="F15" s="50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>
      <c r="D16" s="50"/>
      <c r="E16" s="50"/>
      <c r="F16" s="50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4:49">
      <c r="D17" s="50"/>
      <c r="E17" s="50"/>
      <c r="F17" s="50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4:49">
      <c r="D18" s="50"/>
      <c r="E18" s="50"/>
      <c r="F18" s="50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4:49">
      <c r="D19" s="50"/>
      <c r="E19" s="50"/>
      <c r="F19" s="50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4:49">
      <c r="D20" s="50"/>
      <c r="E20" s="50"/>
      <c r="F20" s="50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4:49">
      <c r="D21" s="50"/>
      <c r="E21" s="50"/>
      <c r="F21" s="50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4:49">
      <c r="D22" s="50"/>
      <c r="E22" s="50"/>
      <c r="F22" s="50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4:49">
      <c r="D23" s="50"/>
      <c r="E23" s="50"/>
      <c r="F23" s="50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4:49">
      <c r="D24" s="50"/>
      <c r="E24" s="50"/>
      <c r="F24" s="50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4:49">
      <c r="D25" s="50"/>
      <c r="E25" s="50"/>
      <c r="F25" s="50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4:49">
      <c r="D26" s="50"/>
      <c r="E26" s="50"/>
      <c r="F26" s="50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4:49">
      <c r="D27" s="50"/>
      <c r="E27" s="50"/>
      <c r="F27" s="50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4:49">
      <c r="D28" s="50"/>
      <c r="E28" s="50"/>
      <c r="F28" s="50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4:49">
      <c r="D29" s="50"/>
      <c r="E29" s="50"/>
      <c r="F29" s="50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4:49">
      <c r="D30" s="50"/>
      <c r="E30" s="50"/>
      <c r="F30" s="50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4:49">
      <c r="D31" s="50"/>
      <c r="E31" s="50"/>
      <c r="F31" s="50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4:49">
      <c r="D32" s="50"/>
      <c r="E32" s="50"/>
      <c r="F32" s="50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4:49">
      <c r="D33" s="50"/>
      <c r="E33" s="50"/>
      <c r="F33" s="50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4:49">
      <c r="D34" s="50"/>
      <c r="E34" s="50"/>
      <c r="F34" s="5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4:49">
      <c r="D35" s="50"/>
      <c r="E35" s="50"/>
      <c r="F35" s="50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4:49">
      <c r="D36" s="50"/>
      <c r="E36" s="50"/>
      <c r="F36" s="50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4:49">
      <c r="D37" s="50"/>
      <c r="E37" s="50"/>
      <c r="F37" s="50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4:49">
      <c r="D38" s="50"/>
      <c r="E38" s="50"/>
      <c r="F38" s="50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4:49">
      <c r="D39" s="50"/>
      <c r="E39" s="50"/>
      <c r="F39" s="50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4:49">
      <c r="D40" s="50"/>
      <c r="E40" s="50"/>
      <c r="F40" s="50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4:49">
      <c r="D41" s="50"/>
      <c r="E41" s="50"/>
      <c r="F41" s="50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4:49">
      <c r="D42" s="50"/>
      <c r="E42" s="50"/>
      <c r="F42" s="50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4:49">
      <c r="D43" s="50"/>
      <c r="E43" s="50"/>
      <c r="F43" s="50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4:49">
      <c r="D44" s="50"/>
      <c r="E44" s="50"/>
      <c r="F44" s="50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4:49">
      <c r="D45" s="50"/>
      <c r="E45" s="50"/>
      <c r="F45" s="50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4:49">
      <c r="D46" s="50"/>
      <c r="E46" s="50"/>
      <c r="F46" s="50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4:49">
      <c r="D47" s="50"/>
      <c r="E47" s="50"/>
      <c r="F47" s="50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4:49">
      <c r="D48" s="50"/>
      <c r="E48" s="50"/>
      <c r="F48" s="50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4:49">
      <c r="D49" s="50"/>
      <c r="E49" s="50"/>
      <c r="F49" s="50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4:49">
      <c r="D50" s="50"/>
      <c r="E50" s="50"/>
      <c r="F50" s="50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4:49">
      <c r="D51" s="50"/>
      <c r="E51" s="50"/>
      <c r="F51" s="50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4:49">
      <c r="D52" s="50"/>
      <c r="E52" s="50"/>
      <c r="F52" s="50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4:49">
      <c r="D53" s="50"/>
      <c r="E53" s="50"/>
      <c r="F53" s="50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4:49">
      <c r="D54" s="50"/>
      <c r="E54" s="50"/>
      <c r="F54" s="50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4:49">
      <c r="D55" s="50"/>
      <c r="E55" s="50"/>
      <c r="F55" s="50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4:49">
      <c r="D56" s="50"/>
      <c r="E56" s="50"/>
      <c r="F56" s="50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4:49">
      <c r="D57" s="50"/>
      <c r="E57" s="50"/>
      <c r="F57" s="50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4:49">
      <c r="D58" s="50"/>
      <c r="E58" s="50"/>
      <c r="F58" s="50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4:49">
      <c r="D59" s="50"/>
      <c r="E59" s="50"/>
      <c r="F59" s="50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4:49">
      <c r="D60" s="50"/>
      <c r="E60" s="50"/>
      <c r="F60" s="50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4:49">
      <c r="D61" s="50"/>
      <c r="E61" s="50"/>
      <c r="F61" s="50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4:49">
      <c r="D62" s="50"/>
      <c r="E62" s="50"/>
      <c r="F62" s="50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4:49">
      <c r="D63" s="50"/>
      <c r="E63" s="50"/>
      <c r="F63" s="50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4:49">
      <c r="D64" s="50"/>
      <c r="E64" s="50"/>
      <c r="F64" s="50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4:49">
      <c r="D65" s="50"/>
      <c r="E65" s="50"/>
      <c r="F65" s="50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4:49">
      <c r="D66" s="50"/>
      <c r="E66" s="50"/>
      <c r="F66" s="50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4:49">
      <c r="D67" s="50"/>
      <c r="E67" s="50"/>
      <c r="F67" s="50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4:49">
      <c r="D68" s="50"/>
      <c r="E68" s="50"/>
      <c r="F68" s="50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4:49">
      <c r="D69" s="50"/>
      <c r="E69" s="50"/>
      <c r="F69" s="50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4:49">
      <c r="D70" s="50"/>
      <c r="E70" s="50"/>
      <c r="F70" s="50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4:49">
      <c r="D71" s="50"/>
      <c r="E71" s="50"/>
      <c r="F71" s="50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4:49">
      <c r="D72" s="50"/>
      <c r="E72" s="50"/>
      <c r="F72" s="50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4:49">
      <c r="D73" s="50"/>
      <c r="E73" s="50"/>
      <c r="F73" s="50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4:49">
      <c r="D74" s="50"/>
      <c r="E74" s="50"/>
      <c r="F74" s="50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4:49">
      <c r="D75" s="50"/>
      <c r="E75" s="50"/>
      <c r="F75" s="50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4:49">
      <c r="D76" s="50"/>
      <c r="E76" s="50"/>
      <c r="F76" s="50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4:49">
      <c r="D77" s="50"/>
      <c r="E77" s="50"/>
      <c r="F77" s="50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4:49">
      <c r="D78" s="50"/>
      <c r="E78" s="50"/>
      <c r="F78" s="50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4:49">
      <c r="D79" s="50"/>
      <c r="E79" s="50"/>
      <c r="F79" s="50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4:49">
      <c r="D80" s="50"/>
      <c r="E80" s="50"/>
      <c r="F80" s="50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4:49">
      <c r="D81" s="50"/>
      <c r="E81" s="50"/>
      <c r="F81" s="50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4:49">
      <c r="D82" s="50"/>
      <c r="E82" s="50"/>
      <c r="F82" s="50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4:49">
      <c r="D83" s="50"/>
      <c r="E83" s="50"/>
      <c r="F83" s="50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4:49">
      <c r="D84" s="50"/>
      <c r="E84" s="50"/>
      <c r="F84" s="50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4:49">
      <c r="D85" s="50"/>
      <c r="E85" s="50"/>
      <c r="F85" s="50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4:49">
      <c r="D86" s="50"/>
      <c r="E86" s="50"/>
      <c r="F86" s="50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4:49">
      <c r="D87" s="50"/>
      <c r="E87" s="50"/>
      <c r="F87" s="50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4:49">
      <c r="D88" s="50"/>
      <c r="E88" s="50"/>
      <c r="F88" s="50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4:49">
      <c r="D89" s="50"/>
      <c r="E89" s="50"/>
      <c r="F89" s="50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4:49">
      <c r="D90" s="50"/>
      <c r="E90" s="50"/>
      <c r="F90" s="50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4:49">
      <c r="D91" s="50"/>
      <c r="E91" s="50"/>
      <c r="F91" s="50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4:49">
      <c r="D92" s="50"/>
      <c r="E92" s="50"/>
      <c r="F92" s="50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4:49">
      <c r="D93" s="50"/>
      <c r="E93" s="50"/>
      <c r="F93" s="50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4:49">
      <c r="D94" s="50"/>
      <c r="E94" s="50"/>
      <c r="F94" s="50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4:49">
      <c r="D95" s="50"/>
      <c r="E95" s="50"/>
      <c r="F95" s="50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4:49">
      <c r="D96" s="50"/>
      <c r="E96" s="50"/>
      <c r="F96" s="50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4:49">
      <c r="D97" s="50"/>
      <c r="E97" s="50"/>
      <c r="F97" s="50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4:49">
      <c r="D98" s="50"/>
      <c r="E98" s="50"/>
      <c r="F98" s="50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4:49">
      <c r="D99" s="50"/>
      <c r="E99" s="50"/>
      <c r="F99" s="50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4:49">
      <c r="D100" s="50"/>
      <c r="E100" s="50"/>
      <c r="F100" s="50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4:49">
      <c r="D101" s="50"/>
      <c r="E101" s="50"/>
      <c r="F101" s="50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4:49">
      <c r="D102" s="50"/>
      <c r="E102" s="50"/>
      <c r="F102" s="50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4:49">
      <c r="D103" s="50"/>
      <c r="E103" s="50"/>
      <c r="F103" s="50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</row>
    <row r="104" spans="4:49">
      <c r="D104" s="50"/>
      <c r="E104" s="50"/>
      <c r="F104" s="50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</row>
    <row r="105" spans="4:49">
      <c r="D105" s="50"/>
      <c r="E105" s="50"/>
      <c r="F105" s="50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4:49">
      <c r="D106" s="50"/>
      <c r="E106" s="50"/>
      <c r="F106" s="50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4:49">
      <c r="D107" s="50"/>
      <c r="E107" s="50"/>
      <c r="F107" s="50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4:49">
      <c r="D108" s="50"/>
      <c r="E108" s="50"/>
      <c r="F108" s="50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4:49">
      <c r="D109" s="50"/>
      <c r="E109" s="50"/>
      <c r="F109" s="50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4:49">
      <c r="D110" s="50"/>
      <c r="E110" s="50"/>
      <c r="F110" s="50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4:49">
      <c r="D111" s="50"/>
      <c r="E111" s="50"/>
      <c r="F111" s="50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4:49">
      <c r="D112" s="50"/>
      <c r="E112" s="50"/>
      <c r="F112" s="50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4:49">
      <c r="D113" s="50"/>
      <c r="E113" s="50"/>
      <c r="F113" s="50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4:49">
      <c r="D114" s="50"/>
      <c r="E114" s="50"/>
      <c r="F114" s="50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4:49">
      <c r="D115" s="50"/>
      <c r="E115" s="50"/>
      <c r="F115" s="50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4:49">
      <c r="D116" s="50"/>
      <c r="E116" s="50"/>
      <c r="F116" s="50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4:49">
      <c r="D117" s="50"/>
      <c r="E117" s="50"/>
      <c r="F117" s="50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4:49">
      <c r="D118" s="50"/>
      <c r="E118" s="50"/>
      <c r="F118" s="50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4:49">
      <c r="D119" s="50"/>
      <c r="E119" s="50"/>
      <c r="F119" s="50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4:49">
      <c r="D120" s="50"/>
      <c r="E120" s="50"/>
      <c r="F120" s="50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4:49">
      <c r="D121" s="50"/>
      <c r="E121" s="50"/>
      <c r="F121" s="50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4:49">
      <c r="D122" s="50"/>
      <c r="E122" s="50"/>
      <c r="F122" s="50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4:49">
      <c r="D123" s="50"/>
      <c r="E123" s="50"/>
      <c r="F123" s="50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4:49">
      <c r="D124" s="50"/>
      <c r="E124" s="50"/>
      <c r="F124" s="50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4:49">
      <c r="D125" s="50"/>
      <c r="E125" s="50"/>
      <c r="F125" s="50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4:49">
      <c r="D126" s="50"/>
      <c r="E126" s="50"/>
      <c r="F126" s="50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8"/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4:49">
      <c r="D127" s="50"/>
      <c r="E127" s="50"/>
      <c r="F127" s="50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4:49">
      <c r="D128" s="50"/>
      <c r="E128" s="50"/>
      <c r="F128" s="50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4:49">
      <c r="D129" s="50"/>
      <c r="E129" s="50"/>
      <c r="F129" s="50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8"/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4:49">
      <c r="D130" s="50"/>
      <c r="E130" s="50"/>
      <c r="F130" s="50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4:49">
      <c r="D131" s="50"/>
      <c r="E131" s="50"/>
      <c r="F131" s="50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4:49">
      <c r="D132" s="50"/>
      <c r="E132" s="50"/>
      <c r="F132" s="50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4:49">
      <c r="D133" s="50"/>
      <c r="E133" s="50"/>
      <c r="F133" s="50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48"/>
      <c r="AJ133" s="48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4:49">
      <c r="D134" s="50"/>
      <c r="E134" s="50"/>
      <c r="F134" s="50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4:49">
      <c r="D135" s="50"/>
      <c r="E135" s="50"/>
      <c r="F135" s="50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4:49">
      <c r="D136" s="50"/>
      <c r="E136" s="50"/>
      <c r="F136" s="50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4:49">
      <c r="D137" s="50"/>
      <c r="E137" s="50"/>
      <c r="F137" s="50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4:49">
      <c r="D138" s="50"/>
      <c r="E138" s="50"/>
      <c r="F138" s="50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4:49">
      <c r="D139" s="50"/>
      <c r="E139" s="50"/>
      <c r="F139" s="50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4:49">
      <c r="D140" s="50"/>
      <c r="E140" s="50"/>
      <c r="F140" s="50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4:49">
      <c r="D141" s="50"/>
      <c r="E141" s="50"/>
      <c r="F141" s="50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4:49">
      <c r="D142" s="50"/>
      <c r="E142" s="50"/>
      <c r="F142" s="50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4:49">
      <c r="D143" s="50"/>
      <c r="E143" s="50"/>
      <c r="F143" s="50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48"/>
      <c r="AJ143" s="48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4:49">
      <c r="D144" s="50"/>
      <c r="E144" s="50"/>
      <c r="F144" s="50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48"/>
      <c r="AJ144" s="48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4:49">
      <c r="D145" s="50"/>
      <c r="E145" s="50"/>
      <c r="F145" s="50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4:49">
      <c r="D146" s="50"/>
      <c r="E146" s="50"/>
      <c r="F146" s="50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4:49">
      <c r="D147" s="50"/>
      <c r="E147" s="50"/>
      <c r="F147" s="50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4:49">
      <c r="D148" s="50"/>
      <c r="E148" s="50"/>
      <c r="F148" s="50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48"/>
      <c r="AJ148" s="48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4:49">
      <c r="D149" s="50"/>
      <c r="E149" s="50"/>
      <c r="F149" s="50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48"/>
      <c r="AJ149" s="48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4:49">
      <c r="D150" s="50"/>
      <c r="E150" s="50"/>
      <c r="F150" s="50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4:49">
      <c r="D151" s="50"/>
      <c r="E151" s="50"/>
      <c r="F151" s="50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4:49">
      <c r="D152" s="50"/>
      <c r="E152" s="50"/>
      <c r="F152" s="50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4:49">
      <c r="D153" s="50"/>
      <c r="E153" s="50"/>
      <c r="F153" s="50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4:49">
      <c r="D154" s="50"/>
      <c r="E154" s="50"/>
      <c r="F154" s="50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4:49">
      <c r="D155" s="50"/>
      <c r="E155" s="50"/>
      <c r="F155" s="50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4:49">
      <c r="D156" s="50"/>
      <c r="E156" s="50"/>
      <c r="F156" s="50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4:49">
      <c r="D157" s="50"/>
      <c r="E157" s="50"/>
      <c r="F157" s="50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4:49">
      <c r="D158" s="50"/>
      <c r="E158" s="50"/>
      <c r="F158" s="50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4:49">
      <c r="D159" s="50"/>
      <c r="E159" s="50"/>
      <c r="F159" s="50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48"/>
      <c r="AJ159" s="48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4:49">
      <c r="D160" s="50"/>
      <c r="E160" s="50"/>
      <c r="F160" s="50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48"/>
      <c r="AJ160" s="48"/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4:49">
      <c r="D161" s="50"/>
      <c r="E161" s="50"/>
      <c r="F161" s="50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  <c r="AC161" s="48"/>
      <c r="AD161" s="48"/>
      <c r="AE161" s="48"/>
      <c r="AF161" s="48"/>
      <c r="AG161" s="48"/>
      <c r="AH161" s="48"/>
      <c r="AI161" s="48"/>
      <c r="AJ161" s="48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4:49">
      <c r="D162" s="50"/>
      <c r="E162" s="50"/>
      <c r="F162" s="50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48"/>
      <c r="AJ162" s="48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4:49">
      <c r="D163" s="50"/>
      <c r="E163" s="50"/>
      <c r="F163" s="50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48"/>
      <c r="AJ163" s="48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4:49">
      <c r="D164" s="50"/>
      <c r="E164" s="50"/>
      <c r="F164" s="50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48"/>
      <c r="AJ164" s="48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4:49">
      <c r="D165" s="50"/>
      <c r="E165" s="50"/>
      <c r="F165" s="50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48"/>
      <c r="AJ165" s="48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4:49">
      <c r="D166" s="50"/>
      <c r="E166" s="50"/>
      <c r="F166" s="50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48"/>
      <c r="AJ166" s="48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4:49">
      <c r="D167" s="50"/>
      <c r="E167" s="50"/>
      <c r="F167" s="50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4:49">
      <c r="D168" s="50"/>
      <c r="E168" s="50"/>
      <c r="F168" s="50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48"/>
      <c r="AJ168" s="48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4:49">
      <c r="D169" s="50"/>
      <c r="E169" s="50"/>
      <c r="F169" s="50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4:49">
      <c r="D170" s="50"/>
      <c r="E170" s="50"/>
      <c r="F170" s="50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4:49">
      <c r="D171" s="50"/>
      <c r="E171" s="50"/>
      <c r="F171" s="50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4:49">
      <c r="D172" s="50"/>
      <c r="E172" s="50"/>
      <c r="F172" s="50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4:49">
      <c r="D173" s="50"/>
      <c r="E173" s="50"/>
      <c r="F173" s="50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4:49">
      <c r="D174" s="50"/>
      <c r="E174" s="50"/>
      <c r="F174" s="50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48"/>
      <c r="AJ174" s="48"/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4:49">
      <c r="D175" s="50"/>
      <c r="E175" s="50"/>
      <c r="F175" s="50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48"/>
      <c r="AJ175" s="48"/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4:49">
      <c r="D176" s="50"/>
      <c r="E176" s="50"/>
      <c r="F176" s="50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48"/>
      <c r="AJ176" s="48"/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4:49">
      <c r="D177" s="50"/>
      <c r="E177" s="50"/>
      <c r="F177" s="50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48"/>
      <c r="AJ177" s="48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4:49">
      <c r="D178" s="50"/>
      <c r="E178" s="50"/>
      <c r="F178" s="50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48"/>
      <c r="AJ178" s="48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4:49">
      <c r="D179" s="50"/>
      <c r="E179" s="50"/>
      <c r="F179" s="50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48"/>
      <c r="AJ179" s="48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4:49">
      <c r="D180" s="50"/>
      <c r="E180" s="50"/>
      <c r="F180" s="50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48"/>
      <c r="AJ180" s="48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4:49">
      <c r="D181" s="50"/>
      <c r="E181" s="50"/>
      <c r="F181" s="50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48"/>
      <c r="AJ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4:49">
      <c r="D182" s="50"/>
      <c r="E182" s="50"/>
      <c r="F182" s="50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48"/>
      <c r="AJ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4:49">
      <c r="D183" s="50"/>
      <c r="E183" s="50"/>
      <c r="F183" s="50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48"/>
      <c r="AJ183" s="48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4:49">
      <c r="D184" s="50"/>
      <c r="E184" s="50"/>
      <c r="F184" s="50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48"/>
      <c r="AJ184" s="4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4:49">
      <c r="D185" s="50"/>
      <c r="E185" s="50"/>
      <c r="F185" s="50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48"/>
      <c r="AJ185" s="48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4:49">
      <c r="D186" s="50"/>
      <c r="E186" s="50"/>
      <c r="F186" s="50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48"/>
      <c r="AJ186" s="48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4:49">
      <c r="D187" s="50"/>
      <c r="E187" s="50"/>
      <c r="F187" s="50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48"/>
      <c r="AJ187" s="4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4:49">
      <c r="D188" s="50"/>
      <c r="E188" s="50"/>
      <c r="F188" s="50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48"/>
      <c r="AJ188" s="48"/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4:49">
      <c r="D189" s="50"/>
      <c r="E189" s="50"/>
      <c r="F189" s="50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48"/>
      <c r="AJ189" s="48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4:49">
      <c r="D190" s="50"/>
      <c r="E190" s="50"/>
      <c r="F190" s="50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48"/>
      <c r="AJ190" s="48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4:49">
      <c r="D191" s="50"/>
      <c r="E191" s="50"/>
      <c r="F191" s="50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48"/>
      <c r="AJ191" s="48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4:49">
      <c r="D192" s="50"/>
      <c r="E192" s="50"/>
      <c r="F192" s="50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48"/>
      <c r="AJ192" s="48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4:49">
      <c r="D193" s="50"/>
      <c r="E193" s="50"/>
      <c r="F193" s="50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4:49">
      <c r="D194" s="50"/>
      <c r="E194" s="50"/>
      <c r="F194" s="50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48"/>
      <c r="AJ194" s="48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4:49">
      <c r="D195" s="50"/>
      <c r="E195" s="50"/>
      <c r="F195" s="50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4:49">
      <c r="D196" s="50"/>
      <c r="E196" s="50"/>
      <c r="F196" s="50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48"/>
      <c r="AJ196" s="48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4:49">
      <c r="D197" s="50"/>
      <c r="E197" s="50"/>
      <c r="F197" s="50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48"/>
      <c r="AJ197" s="48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4:49">
      <c r="D198" s="50"/>
      <c r="E198" s="50"/>
      <c r="F198" s="50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48"/>
      <c r="AJ198" s="48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4:49">
      <c r="D199" s="50"/>
      <c r="E199" s="50"/>
      <c r="F199" s="50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48"/>
      <c r="AJ199" s="48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4:49">
      <c r="D200" s="50"/>
      <c r="E200" s="50"/>
      <c r="F200" s="50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48"/>
      <c r="AJ200" s="48"/>
      <c r="AK200" s="48"/>
      <c r="AL200" s="48"/>
      <c r="AM200" s="48"/>
      <c r="AN200" s="48"/>
      <c r="AO200" s="48"/>
      <c r="AP200" s="48"/>
      <c r="AQ200" s="48"/>
      <c r="AR200" s="48"/>
      <c r="AS200" s="48"/>
      <c r="AT200" s="48"/>
      <c r="AU200" s="48"/>
      <c r="AV200" s="48"/>
      <c r="AW200" s="48"/>
    </row>
    <row r="201" spans="4:49">
      <c r="D201" s="50"/>
      <c r="E201" s="50"/>
      <c r="F201" s="50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48"/>
      <c r="AJ201" s="48"/>
      <c r="AK201" s="48"/>
      <c r="AL201" s="48"/>
      <c r="AM201" s="48"/>
      <c r="AN201" s="48"/>
      <c r="AO201" s="48"/>
      <c r="AP201" s="48"/>
      <c r="AQ201" s="48"/>
      <c r="AR201" s="48"/>
      <c r="AS201" s="48"/>
      <c r="AT201" s="48"/>
      <c r="AU201" s="48"/>
      <c r="AV201" s="48"/>
      <c r="AW201" s="48"/>
    </row>
    <row r="202" spans="4:49">
      <c r="D202" s="50"/>
      <c r="E202" s="50"/>
      <c r="F202" s="50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48"/>
      <c r="AJ202" s="48"/>
      <c r="AK202" s="48"/>
      <c r="AL202" s="48"/>
      <c r="AM202" s="48"/>
      <c r="AN202" s="48"/>
      <c r="AO202" s="48"/>
      <c r="AP202" s="48"/>
      <c r="AQ202" s="48"/>
      <c r="AR202" s="48"/>
      <c r="AS202" s="48"/>
      <c r="AT202" s="48"/>
      <c r="AU202" s="48"/>
      <c r="AV202" s="48"/>
      <c r="AW202" s="48"/>
    </row>
    <row r="203" spans="4:49">
      <c r="D203" s="50"/>
      <c r="E203" s="50"/>
      <c r="F203" s="50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48"/>
      <c r="AJ203" s="48"/>
      <c r="AK203" s="48"/>
      <c r="AL203" s="48"/>
      <c r="AM203" s="48"/>
      <c r="AN203" s="48"/>
      <c r="AO203" s="48"/>
      <c r="AP203" s="48"/>
      <c r="AQ203" s="48"/>
      <c r="AR203" s="48"/>
      <c r="AS203" s="48"/>
      <c r="AT203" s="48"/>
      <c r="AU203" s="48"/>
      <c r="AV203" s="48"/>
      <c r="AW203" s="48"/>
    </row>
    <row r="204" spans="4:49">
      <c r="D204" s="50"/>
      <c r="E204" s="50"/>
      <c r="F204" s="50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48"/>
      <c r="AJ204" s="48"/>
      <c r="AK204" s="48"/>
      <c r="AL204" s="48"/>
      <c r="AM204" s="48"/>
      <c r="AN204" s="48"/>
      <c r="AO204" s="48"/>
      <c r="AP204" s="48"/>
      <c r="AQ204" s="48"/>
      <c r="AR204" s="48"/>
      <c r="AS204" s="48"/>
      <c r="AT204" s="48"/>
      <c r="AU204" s="48"/>
      <c r="AV204" s="48"/>
      <c r="AW204" s="48"/>
    </row>
    <row r="205" spans="4:49">
      <c r="D205" s="50"/>
      <c r="E205" s="50"/>
      <c r="F205" s="50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48"/>
      <c r="AJ205" s="48"/>
      <c r="AK205" s="48"/>
      <c r="AL205" s="48"/>
      <c r="AM205" s="48"/>
      <c r="AN205" s="48"/>
      <c r="AO205" s="48"/>
      <c r="AP205" s="48"/>
      <c r="AQ205" s="48"/>
      <c r="AR205" s="48"/>
      <c r="AS205" s="48"/>
      <c r="AT205" s="48"/>
      <c r="AU205" s="48"/>
      <c r="AV205" s="48"/>
      <c r="AW205" s="48"/>
    </row>
    <row r="206" spans="4:49">
      <c r="D206" s="50"/>
      <c r="E206" s="50"/>
      <c r="F206" s="50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  <c r="AC206" s="48"/>
      <c r="AD206" s="48"/>
      <c r="AE206" s="48"/>
      <c r="AF206" s="48"/>
      <c r="AG206" s="48"/>
      <c r="AH206" s="48"/>
      <c r="AI206" s="48"/>
      <c r="AJ206" s="48"/>
      <c r="AK206" s="48"/>
      <c r="AL206" s="48"/>
      <c r="AM206" s="48"/>
      <c r="AN206" s="48"/>
      <c r="AO206" s="48"/>
      <c r="AP206" s="48"/>
      <c r="AQ206" s="48"/>
      <c r="AR206" s="48"/>
      <c r="AS206" s="48"/>
      <c r="AT206" s="48"/>
      <c r="AU206" s="48"/>
      <c r="AV206" s="48"/>
      <c r="AW206" s="48"/>
    </row>
    <row r="207" spans="4:49">
      <c r="D207" s="50"/>
      <c r="E207" s="50"/>
      <c r="F207" s="50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48"/>
      <c r="AJ207" s="48"/>
      <c r="AK207" s="48"/>
      <c r="AL207" s="48"/>
      <c r="AM207" s="48"/>
      <c r="AN207" s="48"/>
      <c r="AO207" s="48"/>
      <c r="AP207" s="48"/>
      <c r="AQ207" s="48"/>
      <c r="AR207" s="48"/>
      <c r="AS207" s="48"/>
      <c r="AT207" s="48"/>
      <c r="AU207" s="48"/>
      <c r="AV207" s="48"/>
      <c r="AW207" s="48"/>
    </row>
    <row r="208" spans="4:49">
      <c r="D208" s="50"/>
      <c r="E208" s="50"/>
      <c r="F208" s="50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8"/>
      <c r="AP208" s="48"/>
      <c r="AQ208" s="48"/>
      <c r="AR208" s="48"/>
      <c r="AS208" s="48"/>
      <c r="AT208" s="48"/>
      <c r="AU208" s="48"/>
      <c r="AV208" s="48"/>
      <c r="AW208" s="48"/>
    </row>
    <row r="209" spans="1:49">
      <c r="A209" s="13"/>
      <c r="B209" s="13"/>
      <c r="D209" s="50"/>
      <c r="E209" s="50"/>
      <c r="F209" s="50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8"/>
      <c r="AP209" s="48"/>
      <c r="AQ209" s="48"/>
      <c r="AR209" s="48"/>
      <c r="AS209" s="48"/>
      <c r="AT209" s="48"/>
      <c r="AU209" s="48"/>
      <c r="AV209" s="48"/>
      <c r="AW209" s="48"/>
    </row>
    <row r="210" spans="1:49">
      <c r="D210" s="50"/>
      <c r="E210" s="50"/>
      <c r="F210" s="50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8"/>
      <c r="AP210" s="48"/>
      <c r="AQ210" s="48"/>
      <c r="AR210" s="48"/>
      <c r="AS210" s="48"/>
      <c r="AT210" s="48"/>
      <c r="AU210" s="48"/>
      <c r="AV210" s="48"/>
      <c r="AW210" s="48"/>
    </row>
    <row r="211" spans="1:49">
      <c r="D211" s="50"/>
      <c r="E211" s="50"/>
      <c r="F211" s="50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8"/>
      <c r="AP211" s="48"/>
      <c r="AQ211" s="48"/>
      <c r="AR211" s="48"/>
      <c r="AS211" s="48"/>
      <c r="AT211" s="48"/>
      <c r="AU211" s="48"/>
      <c r="AV211" s="48"/>
      <c r="AW211" s="48"/>
    </row>
    <row r="212" spans="1:49">
      <c r="D212" s="50"/>
      <c r="E212" s="50"/>
      <c r="F212" s="50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8"/>
      <c r="AP212" s="48"/>
      <c r="AQ212" s="48"/>
      <c r="AR212" s="48"/>
      <c r="AS212" s="48"/>
      <c r="AT212" s="48"/>
      <c r="AU212" s="48"/>
      <c r="AV212" s="48"/>
      <c r="AW212" s="48"/>
    </row>
    <row r="213" spans="1:49">
      <c r="D213" s="50"/>
      <c r="E213" s="50"/>
      <c r="F213" s="50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8"/>
      <c r="AP213" s="48"/>
      <c r="AQ213" s="48"/>
      <c r="AR213" s="48"/>
      <c r="AS213" s="48"/>
      <c r="AT213" s="48"/>
      <c r="AU213" s="48"/>
      <c r="AV213" s="48"/>
      <c r="AW213" s="48"/>
    </row>
    <row r="214" spans="1:49">
      <c r="D214" s="50"/>
      <c r="E214" s="50"/>
      <c r="F214" s="50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8"/>
      <c r="AP214" s="48"/>
      <c r="AQ214" s="48"/>
      <c r="AR214" s="48"/>
      <c r="AS214" s="48"/>
      <c r="AT214" s="48"/>
      <c r="AU214" s="48"/>
      <c r="AV214" s="48"/>
      <c r="AW214" s="48"/>
    </row>
  </sheetData>
  <autoFilter ref="A2:AW2" xr:uid="{00000000-0009-0000-0000-00000A000000}">
    <sortState xmlns:xlrd2="http://schemas.microsoft.com/office/spreadsheetml/2017/richdata2" ref="A3:AW6">
      <sortCondition ref="C2"/>
    </sortState>
  </autoFilter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0000000}">
          <x14:formula1>
            <xm:f>GeneralMaster!$AE$3:$AE$200</xm:f>
          </x14:formula1>
          <xm:sqref>B3:B3002</xm:sqref>
        </x14:dataValidation>
        <x14:dataValidation type="list" allowBlank="1" showInputMessage="1" showErrorMessage="1" xr:uid="{00000000-0002-0000-0A00-000001000000}">
          <x14:formula1>
            <xm:f>GeneralMaster!$T$3:$T$200</xm:f>
          </x14:formula1>
          <xm:sqref>C3:C3001</xm:sqref>
        </x14:dataValidation>
        <x14:dataValidation type="list" allowBlank="1" showInputMessage="1" showErrorMessage="1" xr:uid="{00000000-0002-0000-0A00-000002000000}">
          <x14:formula1>
            <xm:f>AccountMaster!#REF!</xm:f>
          </x14:formula1>
          <xm:sqref>A3:A3001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705713-9DFF-4D37-ADDD-6490D8719F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FinishSizeChild</vt:lpstr>
      <vt:lpstr>SizeGroupChild</vt:lpstr>
      <vt:lpstr>AccountMaster</vt:lpstr>
      <vt:lpstr>GeneralMaster</vt:lpstr>
      <vt:lpstr>GMaster</vt:lpstr>
      <vt:lpstr>AccountChild05</vt:lpstr>
      <vt:lpstr>PrintingRate</vt:lpstr>
      <vt:lpstr>AccountChild07</vt:lpstr>
      <vt:lpstr>MORate</vt:lpstr>
      <vt:lpstr>AccountChild08</vt:lpstr>
      <vt:lpstr>BindingRate</vt:lpstr>
      <vt:lpstr>AccountChild05!Print_Area</vt:lpstr>
      <vt:lpstr>AccountChild07!Print_Area</vt:lpstr>
      <vt:lpstr>MORate!Print_Area</vt:lpstr>
      <vt:lpstr>AccountChild05!Print_Titles</vt:lpstr>
      <vt:lpstr>AccountChild07!Print_Titles</vt:lpstr>
      <vt:lpstr>AccountChild08!Print_Titles</vt:lpstr>
      <vt:lpstr>MORate!Print_Titles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Kumar Mathuria</dc:creator>
  <cp:lastModifiedBy>Manoj Kumar Mathuria</cp:lastModifiedBy>
  <cp:lastPrinted>2020-09-25T08:23:45Z</cp:lastPrinted>
  <dcterms:created xsi:type="dcterms:W3CDTF">2020-09-19T12:06:36Z</dcterms:created>
  <dcterms:modified xsi:type="dcterms:W3CDTF">2020-09-25T10:11:15Z</dcterms:modified>
</cp:coreProperties>
</file>